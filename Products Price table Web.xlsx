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ductWeb\"/>
    </mc:Choice>
  </mc:AlternateContent>
  <xr:revisionPtr revIDLastSave="0" documentId="13_ncr:1_{BF44ECB8-32BF-40E1-BB15-632E2522ECE0}" xr6:coauthVersionLast="47" xr6:coauthVersionMax="47" xr10:uidLastSave="{00000000-0000-0000-0000-000000000000}"/>
  <bookViews>
    <workbookView xWindow="28680" yWindow="-120" windowWidth="29040" windowHeight="15720" xr2:uid="{36F92623-3410-4B5C-824E-0AA70134F832}"/>
  </bookViews>
  <sheets>
    <sheet name="Item Classification 7.14.26" sheetId="1" r:id="rId1"/>
  </sheets>
  <definedNames>
    <definedName name="_xlnm._FilterDatabase" localSheetId="0" hidden="1">'Item Classification 7.14.26'!$A$1:$R$69</definedName>
    <definedName name="ITEM_DDOWN">#REF!</definedName>
    <definedName name="_xlnm.Print_Area" localSheetId="0">'Item Classification 7.14.26'!$A$1:$P$69</definedName>
    <definedName name="_xlnm.Print_Titles" localSheetId="0">'Item Classification 7.14.26'!$1:$1</definedName>
    <definedName name="TOFU">#REF!</definedName>
    <definedName name="VENDOR_DDOW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1" l="1"/>
  <c r="K7" i="1"/>
  <c r="J7" i="1"/>
  <c r="G7" i="1"/>
  <c r="J48" i="1"/>
  <c r="K48" i="1"/>
  <c r="G48" i="1"/>
  <c r="K23" i="1"/>
  <c r="G23" i="1"/>
  <c r="K40" i="1"/>
  <c r="G40" i="1"/>
  <c r="K32" i="1"/>
  <c r="K36" i="1"/>
  <c r="G36" i="1"/>
  <c r="G32" i="1"/>
  <c r="K25" i="1"/>
  <c r="G25" i="1"/>
  <c r="G59" i="1"/>
  <c r="G60" i="1"/>
  <c r="G61" i="1"/>
  <c r="G62" i="1"/>
  <c r="G63" i="1"/>
  <c r="G64" i="1"/>
  <c r="G65" i="1"/>
  <c r="G66" i="1"/>
  <c r="G67" i="1"/>
  <c r="G68" i="1"/>
  <c r="G69" i="1"/>
  <c r="G58" i="1"/>
  <c r="G22" i="1"/>
  <c r="G15" i="1"/>
  <c r="K22" i="1"/>
  <c r="L21" i="1"/>
  <c r="N50" i="1"/>
  <c r="G50" i="1"/>
  <c r="N64" i="1"/>
  <c r="N45" i="1"/>
  <c r="N44" i="1"/>
  <c r="J20" i="1"/>
  <c r="J26" i="1"/>
  <c r="J27" i="1"/>
  <c r="J14" i="1"/>
  <c r="K15" i="1" s="1"/>
  <c r="K12" i="1"/>
  <c r="G47" i="1"/>
  <c r="G42" i="1"/>
  <c r="G43" i="1"/>
  <c r="G38" i="1"/>
  <c r="G39" i="1"/>
  <c r="G33" i="1"/>
  <c r="G34" i="1"/>
  <c r="G35" i="1"/>
  <c r="G26" i="1"/>
  <c r="G27" i="1"/>
  <c r="G28" i="1"/>
  <c r="G17" i="1"/>
  <c r="G14" i="1"/>
  <c r="G6" i="1"/>
  <c r="G3" i="1"/>
  <c r="G20" i="1"/>
  <c r="G19" i="1"/>
  <c r="K30" i="1"/>
  <c r="J28" i="1"/>
  <c r="K28" i="1" s="1"/>
  <c r="K68" i="1"/>
  <c r="K66" i="1"/>
  <c r="K65" i="1"/>
  <c r="K64" i="1"/>
  <c r="K63" i="1"/>
  <c r="K62" i="1"/>
  <c r="K60" i="1"/>
  <c r="K59" i="1"/>
  <c r="K58" i="1"/>
  <c r="K10" i="1"/>
  <c r="N69" i="1"/>
  <c r="L69" i="1" s="1"/>
  <c r="N68" i="1"/>
  <c r="L68" i="1" s="1"/>
  <c r="L67" i="1"/>
  <c r="J67" i="1"/>
  <c r="N66" i="1"/>
  <c r="L66" i="1" s="1"/>
  <c r="N65" i="1"/>
  <c r="L65" i="1" s="1"/>
  <c r="L64" i="1"/>
  <c r="N63" i="1"/>
  <c r="L63" i="1" s="1"/>
  <c r="N62" i="1"/>
  <c r="L62" i="1" s="1"/>
  <c r="N61" i="1"/>
  <c r="L61" i="1" s="1"/>
  <c r="N60" i="1"/>
  <c r="L60" i="1" s="1"/>
  <c r="N59" i="1"/>
  <c r="L59" i="1" s="1"/>
  <c r="N58" i="1"/>
  <c r="L58" i="1" s="1"/>
  <c r="L56" i="1"/>
  <c r="J56" i="1"/>
  <c r="K56" i="1" s="1"/>
  <c r="G56" i="1"/>
  <c r="L55" i="1"/>
  <c r="F55" i="1"/>
  <c r="L54" i="1"/>
  <c r="F54" i="1"/>
  <c r="L53" i="1"/>
  <c r="J53" i="1"/>
  <c r="K53" i="1" s="1"/>
  <c r="G53" i="1"/>
  <c r="G52" i="1"/>
  <c r="G51" i="1"/>
  <c r="O49" i="1"/>
  <c r="L49" i="1"/>
  <c r="F49" i="1"/>
  <c r="J47" i="1"/>
  <c r="K47" i="1" s="1"/>
  <c r="G46" i="1"/>
  <c r="L45" i="1"/>
  <c r="K45" i="1"/>
  <c r="G45" i="1"/>
  <c r="L44" i="1"/>
  <c r="K44" i="1"/>
  <c r="G44" i="1"/>
  <c r="J43" i="1"/>
  <c r="K43" i="1" s="1"/>
  <c r="J42" i="1"/>
  <c r="K42" i="1" s="1"/>
  <c r="J41" i="1"/>
  <c r="K41" i="1" s="1"/>
  <c r="G41" i="1"/>
  <c r="J39" i="1"/>
  <c r="K39" i="1" s="1"/>
  <c r="J38" i="1"/>
  <c r="K38" i="1" s="1"/>
  <c r="J37" i="1"/>
  <c r="K37" i="1" s="1"/>
  <c r="G37" i="1"/>
  <c r="J35" i="1"/>
  <c r="K35" i="1" s="1"/>
  <c r="J34" i="1"/>
  <c r="K34" i="1" s="1"/>
  <c r="J33" i="1"/>
  <c r="K33" i="1" s="1"/>
  <c r="J31" i="1"/>
  <c r="K31" i="1" s="1"/>
  <c r="G31" i="1"/>
  <c r="N30" i="1"/>
  <c r="G30" i="1"/>
  <c r="O29" i="1"/>
  <c r="L29" i="1"/>
  <c r="J29" i="1"/>
  <c r="K29" i="1" s="1"/>
  <c r="G29" i="1"/>
  <c r="J24" i="1"/>
  <c r="K24" i="1" s="1"/>
  <c r="G24" i="1"/>
  <c r="J21" i="1"/>
  <c r="K21" i="1" s="1"/>
  <c r="G21" i="1"/>
  <c r="J19" i="1"/>
  <c r="J18" i="1"/>
  <c r="K18" i="1" s="1"/>
  <c r="G18" i="1"/>
  <c r="J17" i="1"/>
  <c r="K17" i="1" s="1"/>
  <c r="J16" i="1"/>
  <c r="K16" i="1" s="1"/>
  <c r="G16" i="1"/>
  <c r="J13" i="1"/>
  <c r="G13" i="1"/>
  <c r="G12" i="1"/>
  <c r="G11" i="1"/>
  <c r="O10" i="1"/>
  <c r="N10" i="1"/>
  <c r="L10" i="1" s="1"/>
  <c r="G10" i="1"/>
  <c r="L9" i="1"/>
  <c r="J9" i="1"/>
  <c r="G9" i="1"/>
  <c r="L8" i="1"/>
  <c r="J8" i="1"/>
  <c r="K8" i="1" s="1"/>
  <c r="G8" i="1"/>
  <c r="J6" i="1"/>
  <c r="J5" i="1"/>
  <c r="G5" i="1"/>
  <c r="L4" i="1"/>
  <c r="J4" i="1"/>
  <c r="K4" i="1" s="1"/>
  <c r="G4" i="1"/>
  <c r="J3" i="1"/>
  <c r="J2" i="1"/>
  <c r="G2" i="1"/>
  <c r="K19" i="1" l="1"/>
  <c r="K20" i="1"/>
  <c r="K14" i="1"/>
  <c r="K13" i="1"/>
  <c r="K27" i="1"/>
  <c r="K26" i="1"/>
  <c r="L6" i="1"/>
  <c r="K6" i="1"/>
  <c r="L5" i="1"/>
  <c r="K5" i="1"/>
  <c r="L3" i="1"/>
  <c r="K3" i="1"/>
  <c r="L2" i="1"/>
  <c r="K2" i="1"/>
  <c r="J55" i="1"/>
  <c r="K55" i="1" s="1"/>
  <c r="G55" i="1"/>
  <c r="J54" i="1"/>
  <c r="K54" i="1" s="1"/>
  <c r="G54" i="1"/>
  <c r="G49" i="1"/>
  <c r="J49" i="1"/>
  <c r="K49" i="1" s="1"/>
  <c r="J46" i="1" l="1"/>
  <c r="K46" i="1" s="1"/>
</calcChain>
</file>

<file path=xl/sharedStrings.xml><?xml version="1.0" encoding="utf-8"?>
<sst xmlns="http://schemas.openxmlformats.org/spreadsheetml/2006/main" count="404" uniqueCount="126">
  <si>
    <t>Items</t>
  </si>
  <si>
    <t>USDA Category</t>
  </si>
  <si>
    <t>SKU</t>
  </si>
  <si>
    <t>lb/bag</t>
  </si>
  <si>
    <t>lb/cs</t>
  </si>
  <si>
    <t>lb/pallet</t>
  </si>
  <si>
    <t>cs/pallet</t>
  </si>
  <si>
    <t>price/lb</t>
  </si>
  <si>
    <t>price/bag</t>
  </si>
  <si>
    <t>pcs/cs</t>
  </si>
  <si>
    <t>box price</t>
  </si>
  <si>
    <t>pallet price</t>
  </si>
  <si>
    <t>Remarks</t>
  </si>
  <si>
    <t>Mandu</t>
  </si>
  <si>
    <t>Pork Mandu</t>
  </si>
  <si>
    <t>Fully Cooked</t>
  </si>
  <si>
    <t>PMC0001</t>
  </si>
  <si>
    <t>Wang</t>
  </si>
  <si>
    <t>YDJ CHICAGO</t>
  </si>
  <si>
    <t>PMC1001</t>
  </si>
  <si>
    <t>Wooltari</t>
  </si>
  <si>
    <t>Kimchi Mandu</t>
  </si>
  <si>
    <t>KMC0001</t>
  </si>
  <si>
    <t>KMC1001</t>
  </si>
  <si>
    <t>Beef Mandu</t>
  </si>
  <si>
    <t>BMC1001</t>
  </si>
  <si>
    <t>Filling</t>
  </si>
  <si>
    <t>Pork and Vegetable Dumpling Filling</t>
  </si>
  <si>
    <t>Raw, Non-Intact</t>
  </si>
  <si>
    <t>PXR1001</t>
  </si>
  <si>
    <t>Fritter</t>
  </si>
  <si>
    <t>PFR0007</t>
  </si>
  <si>
    <t>Cater Map</t>
  </si>
  <si>
    <t>PFR0009</t>
  </si>
  <si>
    <t>N/A</t>
  </si>
  <si>
    <t>PFR0001</t>
  </si>
  <si>
    <t>On Trading</t>
  </si>
  <si>
    <t>PFR0002</t>
  </si>
  <si>
    <t>15mm, Daeho</t>
  </si>
  <si>
    <t>Raw, Intact</t>
  </si>
  <si>
    <t>PFR0003</t>
  </si>
  <si>
    <t>PFR1003</t>
  </si>
  <si>
    <t>CFR0001</t>
  </si>
  <si>
    <t>Daeho</t>
  </si>
  <si>
    <t>CFR1001</t>
  </si>
  <si>
    <t>Chicken Tenderloin Fritter</t>
  </si>
  <si>
    <t>CFR0003</t>
  </si>
  <si>
    <t>Pork and Cheese Fritter</t>
  </si>
  <si>
    <t>PFR0004</t>
  </si>
  <si>
    <t>Pork and Jalapeño Cheese Fritter</t>
  </si>
  <si>
    <t>PFR0005</t>
  </si>
  <si>
    <t>Pork and Sweet Potato Cheese Fritter</t>
  </si>
  <si>
    <t>PFR0006</t>
  </si>
  <si>
    <t>Patty Mix</t>
  </si>
  <si>
    <t>Royal West</t>
  </si>
  <si>
    <t>BXR1001</t>
  </si>
  <si>
    <t>EggTuck</t>
  </si>
  <si>
    <t>Gochuracha</t>
  </si>
  <si>
    <t>BXR1002</t>
  </si>
  <si>
    <t>Sliders</t>
  </si>
  <si>
    <t>Beef and Vegetable Sliders 4 -
 Circle</t>
  </si>
  <si>
    <t>BPR0001</t>
  </si>
  <si>
    <t>4", Wang</t>
  </si>
  <si>
    <t>Beef and Vegetable Sliders 6 -
 Circle</t>
  </si>
  <si>
    <t>BPR1003</t>
  </si>
  <si>
    <t>6", Wooltari</t>
  </si>
  <si>
    <t>Beef and Vegetable Sliders
-Rectangle</t>
  </si>
  <si>
    <t>BPR0002</t>
  </si>
  <si>
    <t>Pork and Vegetable Sliders - Circle</t>
  </si>
  <si>
    <t>PPR0001</t>
  </si>
  <si>
    <t>Broth</t>
  </si>
  <si>
    <t>Beef Leg Bone Broth 30</t>
  </si>
  <si>
    <t>Heat Treated, Not FC, Not Shelf Stable</t>
  </si>
  <si>
    <t>BBR0001</t>
  </si>
  <si>
    <t>Beef Leg Bone Broth 15</t>
  </si>
  <si>
    <t>BBR1002</t>
  </si>
  <si>
    <t>Cooked Meat</t>
  </si>
  <si>
    <t>Braised Beef in Savory Sauce</t>
  </si>
  <si>
    <t>BJC1001</t>
  </si>
  <si>
    <t>Stir-Fried Chicken Gizzards with Garlic</t>
  </si>
  <si>
    <t>CGC1001</t>
  </si>
  <si>
    <t>Garlic</t>
  </si>
  <si>
    <t>Steamed Garlic</t>
  </si>
  <si>
    <t>GGC1001</t>
  </si>
  <si>
    <t>Sauce</t>
  </si>
  <si>
    <t>Bulgogi Sauce</t>
  </si>
  <si>
    <t>Raw</t>
  </si>
  <si>
    <t>BSR1001</t>
  </si>
  <si>
    <t>BBQ+RICE</t>
  </si>
  <si>
    <t>GF Bulgogi Sauce</t>
  </si>
  <si>
    <t>GBR1001</t>
  </si>
  <si>
    <t>Salad Dressing</t>
  </si>
  <si>
    <t>SDR1001</t>
  </si>
  <si>
    <t>Spicy Mayo</t>
  </si>
  <si>
    <t>SMR1001</t>
  </si>
  <si>
    <t>Spicy Sauce</t>
  </si>
  <si>
    <t>SSR1001</t>
  </si>
  <si>
    <t>Sweet &amp;Spicy Sauce</t>
  </si>
  <si>
    <t>SSR1002</t>
  </si>
  <si>
    <t>Tofu Sauce</t>
  </si>
  <si>
    <t>TSR1001</t>
  </si>
  <si>
    <t>Lemon Sauce</t>
  </si>
  <si>
    <t>LSH1001</t>
  </si>
  <si>
    <t>Black Pepper Sauce</t>
  </si>
  <si>
    <t>BPH1001</t>
  </si>
  <si>
    <t>YDJ Spicy Sauce</t>
  </si>
  <si>
    <t>SSH0001</t>
  </si>
  <si>
    <t>Damari Sauce</t>
  </si>
  <si>
    <t>Cooked</t>
  </si>
  <si>
    <t>DAC1001</t>
  </si>
  <si>
    <t>Pickling Juice</t>
  </si>
  <si>
    <t>PJC1001</t>
  </si>
  <si>
    <t>Pork Fritter L7</t>
  </si>
  <si>
    <t>Pork Fritter L9</t>
  </si>
  <si>
    <t>Pork Fritter L13</t>
  </si>
  <si>
    <t>Pork Fritter L15</t>
  </si>
  <si>
    <t>Pork Fritter XL</t>
  </si>
  <si>
    <t>Chicken Breast Fritter L</t>
  </si>
  <si>
    <t>Heat Treated</t>
  </si>
  <si>
    <t>Category</t>
  </si>
  <si>
    <t>manufacturing cost</t>
  </si>
  <si>
    <t>margin ratio(%)</t>
  </si>
  <si>
    <t>9 Star</t>
  </si>
  <si>
    <t>Wang-TX</t>
  </si>
  <si>
    <t>Pork Fritter XXL</t>
  </si>
  <si>
    <t>PFR0020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</si>
</sst>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>
      <alignment vertical="center"/>
    </xf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164" fontId="0" fillId="0" borderId="0" xfId="0" applyNumberFormat="1"/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6" fillId="2" borderId="5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164" fontId="7" fillId="10" borderId="4" xfId="0" applyNumberFormat="1" applyFont="1" applyFill="1" applyBorder="1" applyAlignment="1">
      <alignment horizontal="center" vertical="center"/>
    </xf>
    <xf numFmtId="0" fontId="0" fillId="10" borderId="4" xfId="0" applyFill="1" applyBorder="1" applyAlignment="1">
      <alignment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164" fontId="7" fillId="11" borderId="4" xfId="0" applyNumberFormat="1" applyFont="1" applyFill="1" applyBorder="1" applyAlignment="1">
      <alignment horizontal="center" vertical="center"/>
    </xf>
    <xf numFmtId="0" fontId="0" fillId="11" borderId="4" xfId="0" applyFill="1" applyBorder="1" applyAlignment="1">
      <alignment vertical="center"/>
    </xf>
    <xf numFmtId="20" fontId="5" fillId="0" borderId="4" xfId="0" applyNumberFormat="1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0" borderId="0" xfId="0" applyFont="1"/>
    <xf numFmtId="164" fontId="10" fillId="2" borderId="4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13" borderId="4" xfId="0" applyFont="1" applyFill="1" applyBorder="1" applyAlignment="1">
      <alignment horizontal="center" vertical="center" wrapText="1"/>
    </xf>
    <xf numFmtId="164" fontId="4" fillId="13" borderId="4" xfId="0" applyNumberFormat="1" applyFont="1" applyFill="1" applyBorder="1" applyAlignment="1">
      <alignment horizontal="center" vertical="center" wrapText="1"/>
    </xf>
    <xf numFmtId="9" fontId="5" fillId="0" borderId="4" xfId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0" fontId="5" fillId="0" borderId="1" xfId="0" applyFont="1" applyBorder="1"/>
    <xf numFmtId="0" fontId="7" fillId="0" borderId="6" xfId="0" applyFont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12" fillId="0" borderId="1" xfId="2" applyFont="1" applyBorder="1" applyAlignment="1">
      <alignment vertical="center" wrapText="1"/>
    </xf>
    <xf numFmtId="0" fontId="12" fillId="0" borderId="1" xfId="2" applyFont="1" applyBorder="1">
      <alignment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5" borderId="5" xfId="0" applyNumberFormat="1" applyFont="1" applyFill="1" applyBorder="1" applyAlignment="1">
      <alignment vertical="center"/>
    </xf>
    <xf numFmtId="164" fontId="5" fillId="0" borderId="9" xfId="0" applyNumberFormat="1" applyFont="1" applyBorder="1" applyAlignment="1">
      <alignment vertical="center"/>
    </xf>
    <xf numFmtId="164" fontId="5" fillId="10" borderId="4" xfId="0" applyNumberFormat="1" applyFont="1" applyFill="1" applyBorder="1" applyAlignment="1">
      <alignment vertical="center"/>
    </xf>
    <xf numFmtId="164" fontId="7" fillId="11" borderId="4" xfId="0" applyNumberFormat="1" applyFont="1" applyFill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</cellXfs>
  <cellStyles count="3">
    <cellStyle name="Normal" xfId="0" builtinId="0"/>
    <cellStyle name="Normal 2" xfId="2" xr:uid="{9FCFE2B7-E54A-44F8-BDA7-216D7D0EF8A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1AB5-A5B3-4549-84CF-985A174AC5BE}">
  <sheetPr>
    <pageSetUpPr fitToPage="1"/>
  </sheetPr>
  <dimension ref="A1:R69"/>
  <sheetViews>
    <sheetView tabSelected="1" view="pageBreakPreview" zoomScale="80" zoomScaleNormal="85" zoomScaleSheetLayoutView="80" workbookViewId="0">
      <pane xSplit="4" ySplit="1" topLeftCell="E2" activePane="bottomRight" state="frozen"/>
      <selection pane="topRight" activeCell="H1" sqref="H1"/>
      <selection pane="bottomLeft" activeCell="A4" sqref="A4"/>
      <selection pane="bottomRight" activeCell="F22" sqref="F22"/>
    </sheetView>
  </sheetViews>
  <sheetFormatPr defaultRowHeight="15"/>
  <cols>
    <col min="1" max="1" width="13.85546875" style="1" customWidth="1"/>
    <col min="2" max="2" width="39.140625" customWidth="1"/>
    <col min="3" max="3" width="44.140625" style="1" customWidth="1"/>
    <col min="4" max="5" width="11.5703125" style="1" customWidth="1"/>
    <col min="6" max="6" width="12.28515625" style="1" bestFit="1" customWidth="1"/>
    <col min="7" max="7" width="12.42578125" style="2" bestFit="1" customWidth="1"/>
    <col min="8" max="8" width="12.42578125" style="2" customWidth="1"/>
    <col min="9" max="9" width="25.28515625" style="2" customWidth="1"/>
    <col min="10" max="10" width="16.5703125" style="3" customWidth="1"/>
    <col min="11" max="11" width="20.140625" style="3" customWidth="1"/>
    <col min="12" max="12" width="16.140625" style="3" customWidth="1"/>
    <col min="13" max="13" width="13.28515625" style="2" customWidth="1"/>
    <col min="14" max="14" width="12.42578125" style="110" customWidth="1"/>
    <col min="15" max="15" width="14.28515625" style="3" bestFit="1" customWidth="1"/>
    <col min="16" max="16" width="16.28515625" bestFit="1" customWidth="1"/>
  </cols>
  <sheetData>
    <row r="1" spans="1:18" ht="18.75">
      <c r="A1" s="77" t="s">
        <v>119</v>
      </c>
      <c r="B1" s="76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71" t="s">
        <v>120</v>
      </c>
      <c r="J1" s="6" t="s">
        <v>7</v>
      </c>
      <c r="K1" s="72" t="s">
        <v>121</v>
      </c>
      <c r="L1" s="6" t="s">
        <v>8</v>
      </c>
      <c r="M1" s="5" t="s">
        <v>9</v>
      </c>
      <c r="N1" s="102" t="s">
        <v>10</v>
      </c>
      <c r="O1" s="6" t="s">
        <v>11</v>
      </c>
      <c r="P1" s="5" t="s">
        <v>12</v>
      </c>
    </row>
    <row r="2" spans="1:18" ht="15.75" customHeight="1">
      <c r="A2" s="75" t="s">
        <v>13</v>
      </c>
      <c r="B2" s="74" t="s">
        <v>14</v>
      </c>
      <c r="C2" s="7" t="s">
        <v>15</v>
      </c>
      <c r="D2" s="7" t="s">
        <v>16</v>
      </c>
      <c r="E2" s="7">
        <v>5</v>
      </c>
      <c r="F2" s="7">
        <v>25</v>
      </c>
      <c r="G2" s="7">
        <f t="shared" ref="G2:G8" si="0">F2*42</f>
        <v>1050</v>
      </c>
      <c r="H2" s="7">
        <v>42</v>
      </c>
      <c r="I2" s="7">
        <v>2.95</v>
      </c>
      <c r="J2" s="9">
        <f>N2/F2</f>
        <v>8</v>
      </c>
      <c r="K2" s="73">
        <f>J2/I2-1</f>
        <v>1.7118644067796609</v>
      </c>
      <c r="L2" s="9">
        <f>J2*5</f>
        <v>40</v>
      </c>
      <c r="M2" s="10">
        <v>65</v>
      </c>
      <c r="N2" s="103">
        <v>200</v>
      </c>
      <c r="O2" s="11"/>
      <c r="P2" s="12" t="s">
        <v>17</v>
      </c>
    </row>
    <row r="3" spans="1:18" ht="15.75" customHeight="1">
      <c r="A3" s="75" t="s">
        <v>13</v>
      </c>
      <c r="B3" s="74" t="s">
        <v>14</v>
      </c>
      <c r="C3" s="7" t="s">
        <v>15</v>
      </c>
      <c r="D3" s="7" t="s">
        <v>16</v>
      </c>
      <c r="E3" s="7">
        <v>5</v>
      </c>
      <c r="F3" s="7">
        <v>25</v>
      </c>
      <c r="G3" s="7">
        <f t="shared" si="0"/>
        <v>1050</v>
      </c>
      <c r="H3" s="7">
        <v>42</v>
      </c>
      <c r="I3" s="7">
        <v>2.95</v>
      </c>
      <c r="J3" s="9">
        <f>N3/F2</f>
        <v>9.1999999999999993</v>
      </c>
      <c r="K3" s="73">
        <f>J3/I2-1</f>
        <v>2.1186440677966099</v>
      </c>
      <c r="L3" s="9">
        <f>J3*5</f>
        <v>46</v>
      </c>
      <c r="M3" s="10">
        <v>65</v>
      </c>
      <c r="N3" s="103">
        <v>230</v>
      </c>
      <c r="O3" s="11"/>
      <c r="P3" s="15" t="s">
        <v>18</v>
      </c>
    </row>
    <row r="4" spans="1:18" ht="15.75" customHeight="1">
      <c r="A4" s="75" t="s">
        <v>13</v>
      </c>
      <c r="B4" s="74" t="s">
        <v>14</v>
      </c>
      <c r="C4" s="7" t="s">
        <v>15</v>
      </c>
      <c r="D4" s="10" t="s">
        <v>19</v>
      </c>
      <c r="E4" s="17">
        <v>2</v>
      </c>
      <c r="F4" s="10">
        <v>24</v>
      </c>
      <c r="G4" s="10">
        <f t="shared" si="0"/>
        <v>1008</v>
      </c>
      <c r="H4" s="7">
        <v>42</v>
      </c>
      <c r="I4" s="10">
        <v>3.03</v>
      </c>
      <c r="J4" s="9">
        <f>N4/F4</f>
        <v>3.9</v>
      </c>
      <c r="K4" s="73">
        <f>J4/I4-1</f>
        <v>0.28712871287128716</v>
      </c>
      <c r="L4" s="9">
        <f>N4/12</f>
        <v>7.8</v>
      </c>
      <c r="M4" s="10">
        <v>26</v>
      </c>
      <c r="N4" s="103">
        <v>93.6</v>
      </c>
      <c r="O4" s="9">
        <v>90</v>
      </c>
      <c r="P4" s="18" t="s">
        <v>20</v>
      </c>
    </row>
    <row r="5" spans="1:18" ht="15.75" customHeight="1">
      <c r="A5" s="75" t="s">
        <v>13</v>
      </c>
      <c r="B5" s="74" t="s">
        <v>21</v>
      </c>
      <c r="C5" s="7" t="s">
        <v>15</v>
      </c>
      <c r="D5" s="7" t="s">
        <v>22</v>
      </c>
      <c r="E5" s="7">
        <v>5</v>
      </c>
      <c r="F5" s="7">
        <v>25</v>
      </c>
      <c r="G5" s="7">
        <f t="shared" si="0"/>
        <v>1050</v>
      </c>
      <c r="H5" s="7">
        <v>42</v>
      </c>
      <c r="I5" s="7">
        <v>2.86</v>
      </c>
      <c r="J5" s="9">
        <f>N5/F5</f>
        <v>8</v>
      </c>
      <c r="K5" s="73">
        <f>J5/I5-1</f>
        <v>1.7972027972027975</v>
      </c>
      <c r="L5" s="9">
        <f>J5*5</f>
        <v>40</v>
      </c>
      <c r="M5" s="10">
        <v>65</v>
      </c>
      <c r="N5" s="103">
        <v>200</v>
      </c>
      <c r="O5" s="11"/>
      <c r="P5" s="12" t="s">
        <v>17</v>
      </c>
    </row>
    <row r="6" spans="1:18" ht="15.75" customHeight="1">
      <c r="A6" s="75" t="s">
        <v>13</v>
      </c>
      <c r="B6" s="74" t="s">
        <v>21</v>
      </c>
      <c r="C6" s="7" t="s">
        <v>15</v>
      </c>
      <c r="D6" s="7" t="s">
        <v>22</v>
      </c>
      <c r="E6" s="7">
        <v>5</v>
      </c>
      <c r="F6" s="7">
        <v>25</v>
      </c>
      <c r="G6" s="7">
        <f t="shared" si="0"/>
        <v>1050</v>
      </c>
      <c r="H6" s="7">
        <v>42</v>
      </c>
      <c r="I6" s="7">
        <v>2.86</v>
      </c>
      <c r="J6" s="9">
        <f>N6/F5</f>
        <v>9.1999999999999993</v>
      </c>
      <c r="K6" s="73">
        <f>J6/I5-1</f>
        <v>2.2167832167832167</v>
      </c>
      <c r="L6" s="9">
        <f>J6*5</f>
        <v>46</v>
      </c>
      <c r="M6" s="10">
        <v>65</v>
      </c>
      <c r="N6" s="103">
        <v>230</v>
      </c>
      <c r="O6" s="11"/>
      <c r="P6" s="15" t="s">
        <v>18</v>
      </c>
    </row>
    <row r="7" spans="1:18" ht="15.75" customHeight="1">
      <c r="A7" s="75" t="s">
        <v>13</v>
      </c>
      <c r="B7" s="74" t="s">
        <v>21</v>
      </c>
      <c r="C7" s="7" t="s">
        <v>15</v>
      </c>
      <c r="D7" s="7" t="s">
        <v>22</v>
      </c>
      <c r="E7" s="7">
        <v>5</v>
      </c>
      <c r="F7" s="7">
        <v>25</v>
      </c>
      <c r="G7" s="7">
        <f t="shared" ref="G7" si="1">F7*42</f>
        <v>1050</v>
      </c>
      <c r="H7" s="7">
        <v>42</v>
      </c>
      <c r="I7" s="7">
        <v>2.86</v>
      </c>
      <c r="J7" s="9">
        <f>N7/F7</f>
        <v>8</v>
      </c>
      <c r="K7" s="73">
        <f>J7/I6-1</f>
        <v>1.7972027972027975</v>
      </c>
      <c r="L7" s="9">
        <f>J7*5</f>
        <v>40</v>
      </c>
      <c r="M7" s="10">
        <v>65</v>
      </c>
      <c r="N7" s="103">
        <v>200</v>
      </c>
      <c r="O7" s="11"/>
      <c r="P7" s="28" t="s">
        <v>32</v>
      </c>
    </row>
    <row r="8" spans="1:18" ht="15.75" customHeight="1">
      <c r="A8" s="75" t="s">
        <v>13</v>
      </c>
      <c r="B8" s="74" t="s">
        <v>21</v>
      </c>
      <c r="C8" s="7" t="s">
        <v>15</v>
      </c>
      <c r="D8" s="10" t="s">
        <v>23</v>
      </c>
      <c r="E8" s="8">
        <v>2</v>
      </c>
      <c r="F8" s="10">
        <v>24</v>
      </c>
      <c r="G8" s="10">
        <f t="shared" si="0"/>
        <v>1008</v>
      </c>
      <c r="H8" s="10">
        <v>42</v>
      </c>
      <c r="I8" s="10">
        <v>3.03</v>
      </c>
      <c r="J8" s="9">
        <f>N8/F8</f>
        <v>3.9</v>
      </c>
      <c r="K8" s="73">
        <f t="shared" ref="K8:K68" si="2">J8/I8-1</f>
        <v>0.28712871287128716</v>
      </c>
      <c r="L8" s="9">
        <f>N8/12</f>
        <v>7.8</v>
      </c>
      <c r="M8" s="10">
        <v>26</v>
      </c>
      <c r="N8" s="103">
        <v>93.6</v>
      </c>
      <c r="O8" s="9">
        <v>90</v>
      </c>
      <c r="P8" s="18" t="s">
        <v>20</v>
      </c>
    </row>
    <row r="9" spans="1:18" ht="15.75" customHeight="1">
      <c r="A9" s="75" t="s">
        <v>13</v>
      </c>
      <c r="B9" s="78" t="s">
        <v>24</v>
      </c>
      <c r="C9" s="7" t="s">
        <v>15</v>
      </c>
      <c r="D9" s="8" t="s">
        <v>25</v>
      </c>
      <c r="E9" s="8">
        <v>2</v>
      </c>
      <c r="F9" s="10">
        <v>24</v>
      </c>
      <c r="G9" s="10">
        <f t="shared" ref="G9:G16" si="3">F9*42</f>
        <v>1008</v>
      </c>
      <c r="H9" s="10">
        <v>42</v>
      </c>
      <c r="I9" s="7" t="s">
        <v>34</v>
      </c>
      <c r="J9" s="9">
        <f>N9/F9</f>
        <v>5.2</v>
      </c>
      <c r="K9" s="7" t="s">
        <v>34</v>
      </c>
      <c r="L9" s="9">
        <f>N9/12</f>
        <v>10.4</v>
      </c>
      <c r="M9" s="10">
        <v>26</v>
      </c>
      <c r="N9" s="103">
        <v>124.8</v>
      </c>
      <c r="O9" s="9">
        <v>121.2</v>
      </c>
      <c r="P9" s="18" t="s">
        <v>20</v>
      </c>
    </row>
    <row r="10" spans="1:18" ht="15.75" customHeight="1">
      <c r="A10" s="7" t="s">
        <v>26</v>
      </c>
      <c r="B10" s="79" t="s">
        <v>27</v>
      </c>
      <c r="C10" s="7" t="s">
        <v>28</v>
      </c>
      <c r="D10" s="8" t="s">
        <v>29</v>
      </c>
      <c r="E10" s="8">
        <v>1</v>
      </c>
      <c r="F10" s="19">
        <v>30</v>
      </c>
      <c r="G10" s="19">
        <f t="shared" si="3"/>
        <v>1260</v>
      </c>
      <c r="H10" s="20">
        <v>42</v>
      </c>
      <c r="I10" s="20">
        <v>2.8</v>
      </c>
      <c r="J10" s="21">
        <v>4.8</v>
      </c>
      <c r="K10" s="73">
        <f t="shared" si="2"/>
        <v>0.71428571428571441</v>
      </c>
      <c r="L10" s="21">
        <f>N10/30</f>
        <v>4.8</v>
      </c>
      <c r="M10" s="20"/>
      <c r="N10" s="104">
        <f>J10*30</f>
        <v>144</v>
      </c>
      <c r="O10" s="21">
        <f>4.65*30</f>
        <v>139.5</v>
      </c>
      <c r="P10" s="22" t="s">
        <v>20</v>
      </c>
    </row>
    <row r="11" spans="1:18" ht="15.75" customHeight="1">
      <c r="A11" s="75" t="s">
        <v>30</v>
      </c>
      <c r="B11" s="75" t="s">
        <v>112</v>
      </c>
      <c r="C11" s="23" t="s">
        <v>28</v>
      </c>
      <c r="D11" s="24" t="s">
        <v>31</v>
      </c>
      <c r="E11" s="24" t="s">
        <v>34</v>
      </c>
      <c r="F11" s="25">
        <v>18</v>
      </c>
      <c r="G11" s="26">
        <f>F11*42</f>
        <v>756</v>
      </c>
      <c r="H11" s="25">
        <v>42</v>
      </c>
      <c r="I11" s="25"/>
      <c r="J11" s="27">
        <v>5.3</v>
      </c>
      <c r="K11" s="7" t="s">
        <v>34</v>
      </c>
      <c r="L11" s="46"/>
      <c r="M11" s="89"/>
      <c r="N11" s="105">
        <v>95.4</v>
      </c>
      <c r="O11" s="27"/>
      <c r="P11" s="28" t="s">
        <v>32</v>
      </c>
      <c r="R11" s="29"/>
    </row>
    <row r="12" spans="1:18" ht="15.75" customHeight="1">
      <c r="A12" s="75" t="s">
        <v>30</v>
      </c>
      <c r="B12" s="75" t="s">
        <v>113</v>
      </c>
      <c r="C12" s="7" t="s">
        <v>28</v>
      </c>
      <c r="D12" s="8" t="s">
        <v>33</v>
      </c>
      <c r="E12" s="8" t="s">
        <v>34</v>
      </c>
      <c r="F12" s="20">
        <v>20</v>
      </c>
      <c r="G12" s="19">
        <f>F12*42</f>
        <v>840</v>
      </c>
      <c r="H12" s="20">
        <v>42</v>
      </c>
      <c r="I12" s="20">
        <v>3.18</v>
      </c>
      <c r="J12" s="93">
        <v>4.875</v>
      </c>
      <c r="K12" s="73">
        <f t="shared" si="2"/>
        <v>0.53301886792452824</v>
      </c>
      <c r="L12" s="46"/>
      <c r="M12" s="89"/>
      <c r="N12" s="104">
        <v>97.5</v>
      </c>
      <c r="O12" s="21"/>
      <c r="P12" s="28" t="s">
        <v>32</v>
      </c>
      <c r="R12" s="29"/>
    </row>
    <row r="13" spans="1:18" ht="15.75" customHeight="1">
      <c r="A13" s="75" t="s">
        <v>30</v>
      </c>
      <c r="B13" s="75" t="s">
        <v>114</v>
      </c>
      <c r="C13" s="30" t="s">
        <v>28</v>
      </c>
      <c r="D13" s="7" t="s">
        <v>35</v>
      </c>
      <c r="E13" s="7" t="s">
        <v>34</v>
      </c>
      <c r="F13" s="7">
        <v>20</v>
      </c>
      <c r="G13" s="7">
        <f t="shared" si="3"/>
        <v>840</v>
      </c>
      <c r="H13" s="10">
        <v>42</v>
      </c>
      <c r="I13" s="7">
        <v>2.87</v>
      </c>
      <c r="J13" s="31">
        <f>N13/F13</f>
        <v>4.5999999999999996</v>
      </c>
      <c r="K13" s="73">
        <f t="shared" si="2"/>
        <v>0.60278745644599274</v>
      </c>
      <c r="L13" s="32"/>
      <c r="M13" s="90"/>
      <c r="N13" s="80">
        <v>92</v>
      </c>
      <c r="O13" s="32"/>
      <c r="P13" s="33" t="s">
        <v>36</v>
      </c>
    </row>
    <row r="14" spans="1:18" ht="15.75" customHeight="1">
      <c r="A14" s="75" t="s">
        <v>30</v>
      </c>
      <c r="B14" s="75" t="s">
        <v>114</v>
      </c>
      <c r="C14" s="30" t="s">
        <v>28</v>
      </c>
      <c r="D14" s="7" t="s">
        <v>35</v>
      </c>
      <c r="E14" s="7" t="s">
        <v>34</v>
      </c>
      <c r="F14" s="7">
        <v>20</v>
      </c>
      <c r="G14" s="7">
        <f>F14*42</f>
        <v>840</v>
      </c>
      <c r="H14" s="13">
        <v>42</v>
      </c>
      <c r="I14" s="7">
        <v>2.87</v>
      </c>
      <c r="J14" s="31">
        <f>N14/F14</f>
        <v>4.5999999999999996</v>
      </c>
      <c r="K14" s="73">
        <f>J13/I13-1</f>
        <v>0.60278745644599274</v>
      </c>
      <c r="L14" s="35"/>
      <c r="M14" s="91"/>
      <c r="N14" s="80">
        <v>92</v>
      </c>
      <c r="O14" s="35"/>
      <c r="P14" s="28" t="s">
        <v>32</v>
      </c>
    </row>
    <row r="15" spans="1:18" ht="15.75" customHeight="1">
      <c r="A15" s="75" t="s">
        <v>30</v>
      </c>
      <c r="B15" s="75" t="s">
        <v>114</v>
      </c>
      <c r="C15" s="30" t="s">
        <v>28</v>
      </c>
      <c r="D15" s="7" t="s">
        <v>35</v>
      </c>
      <c r="E15" s="7" t="s">
        <v>34</v>
      </c>
      <c r="F15" s="7">
        <v>20</v>
      </c>
      <c r="G15" s="7">
        <f>F15*42</f>
        <v>840</v>
      </c>
      <c r="H15" s="13">
        <v>42</v>
      </c>
      <c r="I15" s="7">
        <v>2.87</v>
      </c>
      <c r="J15" s="31">
        <v>4.5999999999999996</v>
      </c>
      <c r="K15" s="73">
        <f>J14/I14-1</f>
        <v>0.60278745644599274</v>
      </c>
      <c r="L15" s="35"/>
      <c r="M15" s="91"/>
      <c r="N15" s="80">
        <v>92</v>
      </c>
      <c r="O15" s="35"/>
      <c r="P15" s="101" t="s">
        <v>123</v>
      </c>
    </row>
    <row r="16" spans="1:18" ht="15.75" customHeight="1">
      <c r="A16" s="75" t="s">
        <v>30</v>
      </c>
      <c r="B16" s="75" t="s">
        <v>115</v>
      </c>
      <c r="C16" s="10" t="s">
        <v>28</v>
      </c>
      <c r="D16" s="7" t="s">
        <v>37</v>
      </c>
      <c r="E16" s="7" t="s">
        <v>34</v>
      </c>
      <c r="F16" s="7">
        <v>20</v>
      </c>
      <c r="G16" s="7">
        <f t="shared" si="3"/>
        <v>840</v>
      </c>
      <c r="H16" s="7">
        <v>42</v>
      </c>
      <c r="I16" s="7">
        <v>2.87</v>
      </c>
      <c r="J16" s="9">
        <f>N16/F16</f>
        <v>4.5</v>
      </c>
      <c r="K16" s="73">
        <f t="shared" si="2"/>
        <v>0.56794425087108014</v>
      </c>
      <c r="L16" s="11"/>
      <c r="M16" s="92"/>
      <c r="N16" s="103">
        <v>90</v>
      </c>
      <c r="O16" s="11"/>
      <c r="P16" s="36" t="s">
        <v>38</v>
      </c>
    </row>
    <row r="17" spans="1:18" ht="15.75" customHeight="1">
      <c r="A17" s="75" t="s">
        <v>30</v>
      </c>
      <c r="B17" s="75" t="s">
        <v>115</v>
      </c>
      <c r="C17" s="10" t="s">
        <v>28</v>
      </c>
      <c r="D17" s="7" t="s">
        <v>37</v>
      </c>
      <c r="E17" s="7" t="s">
        <v>34</v>
      </c>
      <c r="F17" s="7">
        <v>20</v>
      </c>
      <c r="G17" s="7">
        <f t="shared" ref="G17:G28" si="4">F17*42</f>
        <v>840</v>
      </c>
      <c r="H17" s="7">
        <v>42</v>
      </c>
      <c r="I17" s="7">
        <v>2.87</v>
      </c>
      <c r="J17" s="9">
        <f>N17/F16</f>
        <v>5.4</v>
      </c>
      <c r="K17" s="73">
        <f>J17/I16-1</f>
        <v>0.88153310104529625</v>
      </c>
      <c r="L17" s="11"/>
      <c r="M17" s="92"/>
      <c r="N17" s="103">
        <v>108</v>
      </c>
      <c r="O17" s="11"/>
      <c r="P17" s="15" t="s">
        <v>18</v>
      </c>
    </row>
    <row r="18" spans="1:18" ht="15.75" customHeight="1">
      <c r="A18" s="75" t="s">
        <v>30</v>
      </c>
      <c r="B18" s="75" t="s">
        <v>116</v>
      </c>
      <c r="C18" s="30" t="s">
        <v>39</v>
      </c>
      <c r="D18" s="7" t="s">
        <v>40</v>
      </c>
      <c r="E18" s="7" t="s">
        <v>34</v>
      </c>
      <c r="F18" s="7">
        <v>15</v>
      </c>
      <c r="G18" s="7">
        <f t="shared" si="4"/>
        <v>630</v>
      </c>
      <c r="H18" s="10">
        <v>42</v>
      </c>
      <c r="I18" s="7">
        <v>3.1</v>
      </c>
      <c r="J18" s="9">
        <f>N18/F18</f>
        <v>5.3</v>
      </c>
      <c r="K18" s="73">
        <f t="shared" si="2"/>
        <v>0.70967741935483852</v>
      </c>
      <c r="L18" s="11"/>
      <c r="M18" s="92"/>
      <c r="N18" s="103">
        <v>79.5</v>
      </c>
      <c r="O18" s="11"/>
      <c r="P18" s="33" t="s">
        <v>36</v>
      </c>
    </row>
    <row r="19" spans="1:18" ht="15.75" customHeight="1">
      <c r="A19" s="75" t="s">
        <v>30</v>
      </c>
      <c r="B19" s="75" t="s">
        <v>116</v>
      </c>
      <c r="C19" s="30" t="s">
        <v>39</v>
      </c>
      <c r="D19" s="7" t="s">
        <v>40</v>
      </c>
      <c r="E19" s="7" t="s">
        <v>34</v>
      </c>
      <c r="F19" s="7">
        <v>15</v>
      </c>
      <c r="G19" s="7">
        <f t="shared" si="4"/>
        <v>630</v>
      </c>
      <c r="H19" s="10">
        <v>42</v>
      </c>
      <c r="I19" s="7">
        <v>3.1</v>
      </c>
      <c r="J19" s="31">
        <f>N19/F18</f>
        <v>4.6500000000000004</v>
      </c>
      <c r="K19" s="73">
        <f>J19/I18-1</f>
        <v>0.5</v>
      </c>
      <c r="L19" s="32"/>
      <c r="M19" s="90"/>
      <c r="N19" s="80">
        <v>69.75</v>
      </c>
      <c r="O19" s="11"/>
      <c r="P19" s="12" t="s">
        <v>17</v>
      </c>
    </row>
    <row r="20" spans="1:18" ht="15.75" customHeight="1">
      <c r="A20" s="75" t="s">
        <v>30</v>
      </c>
      <c r="B20" s="75" t="s">
        <v>116</v>
      </c>
      <c r="C20" s="30" t="s">
        <v>39</v>
      </c>
      <c r="D20" s="7" t="s">
        <v>40</v>
      </c>
      <c r="E20" s="7" t="s">
        <v>34</v>
      </c>
      <c r="F20" s="7">
        <v>15</v>
      </c>
      <c r="G20" s="7">
        <f t="shared" si="4"/>
        <v>630</v>
      </c>
      <c r="H20" s="7">
        <v>42</v>
      </c>
      <c r="I20" s="7">
        <v>3.1</v>
      </c>
      <c r="J20" s="9">
        <f>N20/F19</f>
        <v>4.6500000000000004</v>
      </c>
      <c r="K20" s="73">
        <f>J19/I18-1</f>
        <v>0.5</v>
      </c>
      <c r="L20" s="35"/>
      <c r="M20" s="91"/>
      <c r="N20" s="80">
        <v>69.75</v>
      </c>
      <c r="O20" s="11"/>
      <c r="P20" s="28" t="s">
        <v>32</v>
      </c>
    </row>
    <row r="21" spans="1:18" ht="15.75" customHeight="1">
      <c r="A21" s="75" t="s">
        <v>30</v>
      </c>
      <c r="B21" s="75" t="s">
        <v>116</v>
      </c>
      <c r="C21" s="30" t="s">
        <v>39</v>
      </c>
      <c r="D21" s="13" t="s">
        <v>41</v>
      </c>
      <c r="E21" s="10">
        <v>1.4</v>
      </c>
      <c r="F21" s="10">
        <v>14</v>
      </c>
      <c r="G21" s="10">
        <f t="shared" si="4"/>
        <v>588</v>
      </c>
      <c r="H21" s="10">
        <v>42</v>
      </c>
      <c r="I21" s="7">
        <v>3.1</v>
      </c>
      <c r="J21" s="34">
        <f>N21/14</f>
        <v>4.7</v>
      </c>
      <c r="K21" s="73">
        <f>J21/I18-1</f>
        <v>0.5161290322580645</v>
      </c>
      <c r="L21" s="34">
        <f>N21/10</f>
        <v>6.58</v>
      </c>
      <c r="M21" s="14"/>
      <c r="N21" s="106">
        <v>65.8</v>
      </c>
      <c r="O21" s="11"/>
      <c r="P21" s="18" t="s">
        <v>20</v>
      </c>
      <c r="R21" s="29"/>
    </row>
    <row r="22" spans="1:18" ht="15.75" customHeight="1">
      <c r="A22" s="75" t="s">
        <v>30</v>
      </c>
      <c r="B22" s="75" t="s">
        <v>124</v>
      </c>
      <c r="C22" s="30" t="s">
        <v>39</v>
      </c>
      <c r="D22" s="13" t="s">
        <v>125</v>
      </c>
      <c r="E22" s="10" t="s">
        <v>34</v>
      </c>
      <c r="F22" s="10">
        <v>15</v>
      </c>
      <c r="G22" s="10">
        <f t="shared" si="4"/>
        <v>630</v>
      </c>
      <c r="H22" s="10">
        <v>42</v>
      </c>
      <c r="I22" s="7">
        <v>3.1</v>
      </c>
      <c r="J22" s="34">
        <v>4.6500000000000004</v>
      </c>
      <c r="K22" s="73">
        <f>J22/I19-1</f>
        <v>0.5</v>
      </c>
      <c r="L22" s="34"/>
      <c r="M22" s="14"/>
      <c r="N22" s="106">
        <v>69.75</v>
      </c>
      <c r="O22" s="11"/>
      <c r="P22" s="12" t="s">
        <v>123</v>
      </c>
      <c r="R22" s="29"/>
    </row>
    <row r="23" spans="1:18" ht="15.75" customHeight="1">
      <c r="A23" s="75" t="s">
        <v>30</v>
      </c>
      <c r="B23" s="75" t="s">
        <v>124</v>
      </c>
      <c r="C23" s="30" t="s">
        <v>39</v>
      </c>
      <c r="D23" s="13" t="s">
        <v>125</v>
      </c>
      <c r="E23" s="10" t="s">
        <v>34</v>
      </c>
      <c r="F23" s="10">
        <v>15</v>
      </c>
      <c r="G23" s="10">
        <f t="shared" ref="G23" si="5">F23*42</f>
        <v>630</v>
      </c>
      <c r="H23" s="10">
        <v>42</v>
      </c>
      <c r="I23" s="7">
        <v>3.1</v>
      </c>
      <c r="J23" s="34">
        <v>5.3</v>
      </c>
      <c r="K23" s="73">
        <f>J23/I23-1</f>
        <v>0.70967741935483852</v>
      </c>
      <c r="L23" s="34"/>
      <c r="M23" s="14"/>
      <c r="N23" s="106">
        <v>79.5</v>
      </c>
      <c r="O23" s="11"/>
      <c r="P23" s="15" t="s">
        <v>18</v>
      </c>
      <c r="R23" s="29"/>
    </row>
    <row r="24" spans="1:18" ht="15.75" customHeight="1">
      <c r="A24" s="75" t="s">
        <v>30</v>
      </c>
      <c r="B24" s="79" t="s">
        <v>117</v>
      </c>
      <c r="C24" s="30" t="s">
        <v>39</v>
      </c>
      <c r="D24" s="7" t="s">
        <v>42</v>
      </c>
      <c r="E24" s="10" t="s">
        <v>34</v>
      </c>
      <c r="F24" s="10">
        <v>20</v>
      </c>
      <c r="G24" s="10">
        <f t="shared" si="4"/>
        <v>840</v>
      </c>
      <c r="H24" s="10">
        <v>42</v>
      </c>
      <c r="I24" s="7">
        <v>3.92</v>
      </c>
      <c r="J24" s="9">
        <f>N24/F$24</f>
        <v>5</v>
      </c>
      <c r="K24" s="73">
        <f t="shared" si="2"/>
        <v>0.27551020408163263</v>
      </c>
      <c r="L24" s="9"/>
      <c r="M24" s="10"/>
      <c r="N24" s="103">
        <v>100</v>
      </c>
      <c r="O24" s="11"/>
      <c r="P24" s="38" t="s">
        <v>43</v>
      </c>
    </row>
    <row r="25" spans="1:18" ht="15.75" customHeight="1">
      <c r="A25" s="75" t="s">
        <v>30</v>
      </c>
      <c r="B25" s="79" t="s">
        <v>117</v>
      </c>
      <c r="C25" s="30" t="s">
        <v>39</v>
      </c>
      <c r="D25" s="7" t="s">
        <v>42</v>
      </c>
      <c r="E25" s="10" t="s">
        <v>34</v>
      </c>
      <c r="F25" s="10">
        <v>20</v>
      </c>
      <c r="G25" s="10">
        <f t="shared" ref="G25" si="6">F25*42</f>
        <v>840</v>
      </c>
      <c r="H25" s="10">
        <v>42</v>
      </c>
      <c r="I25" s="7">
        <v>3.92</v>
      </c>
      <c r="J25" s="31">
        <v>5.6</v>
      </c>
      <c r="K25" s="73">
        <f>J25/I22-1</f>
        <v>0.80645161290322553</v>
      </c>
      <c r="L25" s="9"/>
      <c r="M25" s="10"/>
      <c r="N25" s="80">
        <v>112</v>
      </c>
      <c r="O25" s="11"/>
      <c r="P25" s="12" t="s">
        <v>123</v>
      </c>
    </row>
    <row r="26" spans="1:18" ht="15.75" customHeight="1">
      <c r="A26" s="75" t="s">
        <v>30</v>
      </c>
      <c r="B26" s="79" t="s">
        <v>117</v>
      </c>
      <c r="C26" s="30" t="s">
        <v>39</v>
      </c>
      <c r="D26" s="7" t="s">
        <v>42</v>
      </c>
      <c r="E26" s="7" t="s">
        <v>34</v>
      </c>
      <c r="F26" s="7">
        <v>20</v>
      </c>
      <c r="G26" s="7">
        <f t="shared" si="4"/>
        <v>840</v>
      </c>
      <c r="H26" s="10">
        <v>42</v>
      </c>
      <c r="I26" s="7">
        <v>3.92</v>
      </c>
      <c r="J26" s="31">
        <f>N26/F$24</f>
        <v>5.6</v>
      </c>
      <c r="K26" s="73">
        <f>J26/I24-1</f>
        <v>0.4285714285714286</v>
      </c>
      <c r="L26" s="9"/>
      <c r="M26" s="10"/>
      <c r="N26" s="80">
        <v>112</v>
      </c>
      <c r="O26" s="11"/>
      <c r="P26" s="39" t="s">
        <v>36</v>
      </c>
    </row>
    <row r="27" spans="1:18" ht="15.75" customHeight="1">
      <c r="A27" s="75" t="s">
        <v>30</v>
      </c>
      <c r="B27" s="79" t="s">
        <v>117</v>
      </c>
      <c r="C27" s="30" t="s">
        <v>39</v>
      </c>
      <c r="D27" s="7" t="s">
        <v>42</v>
      </c>
      <c r="E27" s="7" t="s">
        <v>34</v>
      </c>
      <c r="F27" s="7">
        <v>20</v>
      </c>
      <c r="G27" s="7">
        <f t="shared" si="4"/>
        <v>840</v>
      </c>
      <c r="H27" s="13">
        <v>42</v>
      </c>
      <c r="I27" s="7">
        <v>3.92</v>
      </c>
      <c r="J27" s="31">
        <f>N27/F$24</f>
        <v>5.6</v>
      </c>
      <c r="K27" s="73">
        <f>J26/I24-1</f>
        <v>0.4285714285714286</v>
      </c>
      <c r="L27" s="34"/>
      <c r="M27" s="14"/>
      <c r="N27" s="80">
        <v>112</v>
      </c>
      <c r="O27" s="11"/>
      <c r="P27" s="28" t="s">
        <v>32</v>
      </c>
    </row>
    <row r="28" spans="1:18" ht="15.75" customHeight="1">
      <c r="A28" s="75" t="s">
        <v>30</v>
      </c>
      <c r="B28" s="79" t="s">
        <v>117</v>
      </c>
      <c r="C28" s="30" t="s">
        <v>39</v>
      </c>
      <c r="D28" s="7" t="s">
        <v>42</v>
      </c>
      <c r="E28" s="7" t="s">
        <v>34</v>
      </c>
      <c r="F28" s="7">
        <v>20</v>
      </c>
      <c r="G28" s="7">
        <f t="shared" si="4"/>
        <v>840</v>
      </c>
      <c r="H28" s="13">
        <v>42</v>
      </c>
      <c r="I28" s="7">
        <v>3.92</v>
      </c>
      <c r="J28" s="9">
        <f>N28/F$24</f>
        <v>5.95</v>
      </c>
      <c r="K28" s="73">
        <f>J28/I24-1</f>
        <v>0.51785714285714302</v>
      </c>
      <c r="L28" s="9"/>
      <c r="M28" s="10"/>
      <c r="N28" s="103">
        <v>119</v>
      </c>
      <c r="O28" s="11"/>
      <c r="P28" s="15" t="s">
        <v>18</v>
      </c>
    </row>
    <row r="29" spans="1:18" ht="15.75" customHeight="1">
      <c r="A29" s="75" t="s">
        <v>30</v>
      </c>
      <c r="B29" s="79" t="s">
        <v>117</v>
      </c>
      <c r="C29" s="30" t="s">
        <v>39</v>
      </c>
      <c r="D29" s="10" t="s">
        <v>44</v>
      </c>
      <c r="E29" s="10">
        <v>1</v>
      </c>
      <c r="F29" s="10">
        <v>18</v>
      </c>
      <c r="G29" s="10">
        <f>F29*36</f>
        <v>648</v>
      </c>
      <c r="H29" s="10">
        <v>42</v>
      </c>
      <c r="I29" s="7">
        <v>7.92</v>
      </c>
      <c r="J29" s="9">
        <f>N29/F29</f>
        <v>5.83</v>
      </c>
      <c r="K29" s="73">
        <f>J29/I24-1</f>
        <v>0.48724489795918369</v>
      </c>
      <c r="L29" s="9">
        <f>N29/18</f>
        <v>5.83</v>
      </c>
      <c r="M29" s="10"/>
      <c r="N29" s="103">
        <v>104.94</v>
      </c>
      <c r="O29" s="9">
        <f>5.66*F29</f>
        <v>101.88</v>
      </c>
      <c r="P29" s="18" t="s">
        <v>20</v>
      </c>
    </row>
    <row r="30" spans="1:18" ht="15.75" customHeight="1">
      <c r="A30" s="75" t="s">
        <v>30</v>
      </c>
      <c r="B30" s="78" t="s">
        <v>45</v>
      </c>
      <c r="C30" s="37" t="s">
        <v>39</v>
      </c>
      <c r="D30" s="7" t="s">
        <v>46</v>
      </c>
      <c r="E30" s="7" t="s">
        <v>34</v>
      </c>
      <c r="F30" s="7">
        <v>20</v>
      </c>
      <c r="G30" s="10">
        <f>F30*36</f>
        <v>720</v>
      </c>
      <c r="H30" s="10">
        <v>42</v>
      </c>
      <c r="I30" s="10">
        <v>3.25</v>
      </c>
      <c r="J30" s="9">
        <v>4.8499999999999996</v>
      </c>
      <c r="K30" s="73">
        <f>J30/I30-1</f>
        <v>0.49230769230769211</v>
      </c>
      <c r="L30" s="9"/>
      <c r="M30" s="10"/>
      <c r="N30" s="103">
        <f>J30*20</f>
        <v>97</v>
      </c>
      <c r="O30" s="9"/>
      <c r="P30" s="28" t="s">
        <v>32</v>
      </c>
    </row>
    <row r="31" spans="1:18" ht="15.75" customHeight="1">
      <c r="A31" s="75" t="s">
        <v>30</v>
      </c>
      <c r="B31" s="74" t="s">
        <v>47</v>
      </c>
      <c r="C31" s="7" t="s">
        <v>39</v>
      </c>
      <c r="D31" s="7" t="s">
        <v>48</v>
      </c>
      <c r="E31" s="7" t="s">
        <v>34</v>
      </c>
      <c r="F31" s="7">
        <v>20</v>
      </c>
      <c r="G31" s="7">
        <f t="shared" ref="G31:G47" si="7">F31*42</f>
        <v>840</v>
      </c>
      <c r="H31" s="10">
        <v>42</v>
      </c>
      <c r="I31" s="7">
        <v>3.76</v>
      </c>
      <c r="J31" s="9">
        <f>N31/F31</f>
        <v>5.0999999999999996</v>
      </c>
      <c r="K31" s="73">
        <f t="shared" ref="K31:K37" si="8">J31/I31-1</f>
        <v>0.3563829787234043</v>
      </c>
      <c r="L31" s="9"/>
      <c r="M31" s="10"/>
      <c r="N31" s="103">
        <v>102</v>
      </c>
      <c r="O31" s="11"/>
      <c r="P31" s="38" t="s">
        <v>43</v>
      </c>
    </row>
    <row r="32" spans="1:18" ht="15.75" customHeight="1">
      <c r="A32" s="75" t="s">
        <v>30</v>
      </c>
      <c r="B32" s="74" t="s">
        <v>47</v>
      </c>
      <c r="C32" s="7" t="s">
        <v>39</v>
      </c>
      <c r="D32" s="7" t="s">
        <v>48</v>
      </c>
      <c r="E32" s="7" t="s">
        <v>34</v>
      </c>
      <c r="F32" s="7">
        <v>20</v>
      </c>
      <c r="G32" s="7">
        <f t="shared" ref="G32" si="9">F32*42</f>
        <v>840</v>
      </c>
      <c r="H32" s="10">
        <v>42</v>
      </c>
      <c r="I32" s="7">
        <v>3.76</v>
      </c>
      <c r="J32" s="9">
        <v>6.45</v>
      </c>
      <c r="K32" s="73">
        <f t="shared" si="8"/>
        <v>0.71542553191489366</v>
      </c>
      <c r="L32" s="9"/>
      <c r="M32" s="10"/>
      <c r="N32" s="103">
        <v>129</v>
      </c>
      <c r="O32" s="11"/>
      <c r="P32" s="12" t="s">
        <v>123</v>
      </c>
    </row>
    <row r="33" spans="1:16" ht="15.75" customHeight="1">
      <c r="A33" s="75" t="s">
        <v>30</v>
      </c>
      <c r="B33" s="74" t="s">
        <v>47</v>
      </c>
      <c r="C33" s="7" t="s">
        <v>39</v>
      </c>
      <c r="D33" s="7" t="s">
        <v>48</v>
      </c>
      <c r="E33" s="7" t="s">
        <v>34</v>
      </c>
      <c r="F33" s="7">
        <v>20</v>
      </c>
      <c r="G33" s="7">
        <f t="shared" si="7"/>
        <v>840</v>
      </c>
      <c r="H33" s="10">
        <v>42</v>
      </c>
      <c r="I33" s="7">
        <v>3.76</v>
      </c>
      <c r="J33" s="9">
        <f>N33/F$31</f>
        <v>5.5</v>
      </c>
      <c r="K33" s="73">
        <f t="shared" si="8"/>
        <v>0.4627659574468086</v>
      </c>
      <c r="L33" s="9"/>
      <c r="M33" s="10"/>
      <c r="N33" s="103">
        <v>110</v>
      </c>
      <c r="O33" s="11"/>
      <c r="P33" s="39" t="s">
        <v>36</v>
      </c>
    </row>
    <row r="34" spans="1:16" ht="15.75" customHeight="1">
      <c r="A34" s="75" t="s">
        <v>30</v>
      </c>
      <c r="B34" s="74" t="s">
        <v>47</v>
      </c>
      <c r="C34" s="7" t="s">
        <v>39</v>
      </c>
      <c r="D34" s="7" t="s">
        <v>48</v>
      </c>
      <c r="E34" s="7" t="s">
        <v>34</v>
      </c>
      <c r="F34" s="7">
        <v>20</v>
      </c>
      <c r="G34" s="7">
        <f t="shared" si="7"/>
        <v>840</v>
      </c>
      <c r="H34" s="10">
        <v>42</v>
      </c>
      <c r="I34" s="7">
        <v>3.76</v>
      </c>
      <c r="J34" s="9">
        <f>N34/F$31</f>
        <v>6.45</v>
      </c>
      <c r="K34" s="73">
        <f t="shared" si="8"/>
        <v>0.71542553191489366</v>
      </c>
      <c r="L34" s="9"/>
      <c r="M34" s="10"/>
      <c r="N34" s="103">
        <v>129</v>
      </c>
      <c r="O34" s="35"/>
      <c r="P34" s="15" t="s">
        <v>18</v>
      </c>
    </row>
    <row r="35" spans="1:16" ht="15.75" customHeight="1">
      <c r="A35" s="75" t="s">
        <v>30</v>
      </c>
      <c r="B35" s="74" t="s">
        <v>47</v>
      </c>
      <c r="C35" s="7" t="s">
        <v>39</v>
      </c>
      <c r="D35" s="7" t="s">
        <v>48</v>
      </c>
      <c r="E35" s="7" t="s">
        <v>34</v>
      </c>
      <c r="F35" s="7">
        <v>20</v>
      </c>
      <c r="G35" s="7">
        <f t="shared" si="7"/>
        <v>840</v>
      </c>
      <c r="H35" s="10">
        <v>42</v>
      </c>
      <c r="I35" s="7">
        <v>3.76</v>
      </c>
      <c r="J35" s="9">
        <f>N35/F$31</f>
        <v>6</v>
      </c>
      <c r="K35" s="73">
        <f t="shared" si="8"/>
        <v>0.59574468085106402</v>
      </c>
      <c r="L35" s="9"/>
      <c r="M35" s="10"/>
      <c r="N35" s="103">
        <v>120</v>
      </c>
      <c r="O35" s="35"/>
      <c r="P35" s="28" t="s">
        <v>32</v>
      </c>
    </row>
    <row r="36" spans="1:16" ht="15.75" customHeight="1">
      <c r="A36" s="75" t="s">
        <v>30</v>
      </c>
      <c r="B36" s="84" t="s">
        <v>49</v>
      </c>
      <c r="C36" s="30" t="s">
        <v>39</v>
      </c>
      <c r="D36" s="7" t="s">
        <v>50</v>
      </c>
      <c r="E36" s="7" t="s">
        <v>34</v>
      </c>
      <c r="F36" s="7">
        <v>20</v>
      </c>
      <c r="G36" s="7">
        <f t="shared" ref="G36" si="10">F36*42</f>
        <v>840</v>
      </c>
      <c r="H36" s="14">
        <v>42</v>
      </c>
      <c r="I36" s="7">
        <v>3.91</v>
      </c>
      <c r="J36" s="34">
        <v>6.75</v>
      </c>
      <c r="K36" s="73">
        <f t="shared" si="8"/>
        <v>0.7263427109974423</v>
      </c>
      <c r="L36" s="34"/>
      <c r="M36" s="14"/>
      <c r="N36" s="103">
        <v>135</v>
      </c>
      <c r="O36" s="35"/>
      <c r="P36" s="101" t="s">
        <v>123</v>
      </c>
    </row>
    <row r="37" spans="1:16" ht="15.75" customHeight="1">
      <c r="A37" s="75" t="s">
        <v>30</v>
      </c>
      <c r="B37" s="84" t="s">
        <v>49</v>
      </c>
      <c r="C37" s="30" t="s">
        <v>39</v>
      </c>
      <c r="D37" s="7" t="s">
        <v>50</v>
      </c>
      <c r="E37" s="7" t="s">
        <v>34</v>
      </c>
      <c r="F37" s="7">
        <v>20</v>
      </c>
      <c r="G37" s="7">
        <f t="shared" si="7"/>
        <v>840</v>
      </c>
      <c r="H37" s="14">
        <v>42</v>
      </c>
      <c r="I37" s="7">
        <v>3.91</v>
      </c>
      <c r="J37" s="34">
        <f>N37/F37</f>
        <v>5.75</v>
      </c>
      <c r="K37" s="73">
        <f t="shared" si="8"/>
        <v>0.47058823529411753</v>
      </c>
      <c r="L37" s="34"/>
      <c r="M37" s="14"/>
      <c r="N37" s="103">
        <v>115</v>
      </c>
      <c r="O37" s="35"/>
      <c r="P37" s="39" t="s">
        <v>36</v>
      </c>
    </row>
    <row r="38" spans="1:16" ht="15.75" customHeight="1">
      <c r="A38" s="75" t="s">
        <v>30</v>
      </c>
      <c r="B38" s="84" t="s">
        <v>49</v>
      </c>
      <c r="C38" s="30" t="s">
        <v>39</v>
      </c>
      <c r="D38" s="7" t="s">
        <v>50</v>
      </c>
      <c r="E38" s="7" t="s">
        <v>34</v>
      </c>
      <c r="F38" s="7">
        <v>20</v>
      </c>
      <c r="G38" s="7">
        <f t="shared" si="7"/>
        <v>840</v>
      </c>
      <c r="H38" s="14">
        <v>42</v>
      </c>
      <c r="I38" s="7">
        <v>3.91</v>
      </c>
      <c r="J38" s="34">
        <f>N38/F$37</f>
        <v>6.75</v>
      </c>
      <c r="K38" s="73">
        <f>J38/I37-1</f>
        <v>0.7263427109974423</v>
      </c>
      <c r="L38" s="34"/>
      <c r="M38" s="14"/>
      <c r="N38" s="103">
        <v>135</v>
      </c>
      <c r="O38" s="35"/>
      <c r="P38" s="15" t="s">
        <v>18</v>
      </c>
    </row>
    <row r="39" spans="1:16" ht="15.75" customHeight="1">
      <c r="A39" s="75" t="s">
        <v>30</v>
      </c>
      <c r="B39" s="84" t="s">
        <v>49</v>
      </c>
      <c r="C39" s="30" t="s">
        <v>39</v>
      </c>
      <c r="D39" s="7" t="s">
        <v>50</v>
      </c>
      <c r="E39" s="7" t="s">
        <v>34</v>
      </c>
      <c r="F39" s="7">
        <v>20</v>
      </c>
      <c r="G39" s="7">
        <f t="shared" si="7"/>
        <v>840</v>
      </c>
      <c r="H39" s="14">
        <v>42</v>
      </c>
      <c r="I39" s="7">
        <v>3.91</v>
      </c>
      <c r="J39" s="34">
        <f>N39/F$37</f>
        <v>6.25</v>
      </c>
      <c r="K39" s="73">
        <f>J39/I37-1</f>
        <v>0.59846547314577991</v>
      </c>
      <c r="L39" s="34"/>
      <c r="M39" s="14"/>
      <c r="N39" s="103">
        <v>125</v>
      </c>
      <c r="O39" s="35"/>
      <c r="P39" s="28" t="s">
        <v>32</v>
      </c>
    </row>
    <row r="40" spans="1:16" ht="15.75" customHeight="1">
      <c r="A40" s="75" t="s">
        <v>30</v>
      </c>
      <c r="B40" s="84" t="s">
        <v>51</v>
      </c>
      <c r="C40" s="30" t="s">
        <v>39</v>
      </c>
      <c r="D40" s="7" t="s">
        <v>52</v>
      </c>
      <c r="E40" s="7" t="s">
        <v>34</v>
      </c>
      <c r="F40" s="7">
        <v>20</v>
      </c>
      <c r="G40" s="7">
        <f t="shared" ref="G40" si="11">F40*42</f>
        <v>840</v>
      </c>
      <c r="H40" s="14">
        <v>42</v>
      </c>
      <c r="I40" s="7">
        <v>4.43</v>
      </c>
      <c r="J40" s="34">
        <v>6.75</v>
      </c>
      <c r="K40" s="73">
        <f t="shared" si="2"/>
        <v>0.52370203160270901</v>
      </c>
      <c r="L40" s="34"/>
      <c r="M40" s="14"/>
      <c r="N40" s="103">
        <v>135</v>
      </c>
      <c r="O40" s="35"/>
      <c r="P40" s="101" t="s">
        <v>123</v>
      </c>
    </row>
    <row r="41" spans="1:16" ht="18.75" customHeight="1">
      <c r="A41" s="75" t="s">
        <v>30</v>
      </c>
      <c r="B41" s="84" t="s">
        <v>51</v>
      </c>
      <c r="C41" s="30" t="s">
        <v>39</v>
      </c>
      <c r="D41" s="7" t="s">
        <v>52</v>
      </c>
      <c r="E41" s="7" t="s">
        <v>34</v>
      </c>
      <c r="F41" s="7">
        <v>20</v>
      </c>
      <c r="G41" s="7">
        <f t="shared" si="7"/>
        <v>840</v>
      </c>
      <c r="H41" s="14">
        <v>42</v>
      </c>
      <c r="I41" s="7">
        <v>4.43</v>
      </c>
      <c r="J41" s="34">
        <f>N41/F$41</f>
        <v>5.75</v>
      </c>
      <c r="K41" s="73">
        <f t="shared" si="2"/>
        <v>0.2979683972911964</v>
      </c>
      <c r="L41" s="34"/>
      <c r="M41" s="14"/>
      <c r="N41" s="103">
        <v>115</v>
      </c>
      <c r="O41" s="11"/>
      <c r="P41" s="39" t="s">
        <v>36</v>
      </c>
    </row>
    <row r="42" spans="1:16" ht="18.75" customHeight="1">
      <c r="A42" s="75" t="s">
        <v>30</v>
      </c>
      <c r="B42" s="84" t="s">
        <v>51</v>
      </c>
      <c r="C42" s="30" t="s">
        <v>39</v>
      </c>
      <c r="D42" s="7" t="s">
        <v>52</v>
      </c>
      <c r="E42" s="7" t="s">
        <v>34</v>
      </c>
      <c r="F42" s="7">
        <v>20</v>
      </c>
      <c r="G42" s="7">
        <f t="shared" si="7"/>
        <v>840</v>
      </c>
      <c r="H42" s="14">
        <v>42</v>
      </c>
      <c r="I42" s="7">
        <v>4.43</v>
      </c>
      <c r="J42" s="34">
        <f>N42/F$41</f>
        <v>6.75</v>
      </c>
      <c r="K42" s="73">
        <f>J42/I41-1</f>
        <v>0.52370203160270901</v>
      </c>
      <c r="L42" s="34"/>
      <c r="M42" s="14"/>
      <c r="N42" s="103">
        <v>135</v>
      </c>
      <c r="O42" s="11"/>
      <c r="P42" s="15" t="s">
        <v>18</v>
      </c>
    </row>
    <row r="43" spans="1:16" ht="18.75" customHeight="1">
      <c r="A43" s="75" t="s">
        <v>30</v>
      </c>
      <c r="B43" s="84" t="s">
        <v>51</v>
      </c>
      <c r="C43" s="30" t="s">
        <v>39</v>
      </c>
      <c r="D43" s="7" t="s">
        <v>52</v>
      </c>
      <c r="E43" s="7" t="s">
        <v>34</v>
      </c>
      <c r="F43" s="7">
        <v>20</v>
      </c>
      <c r="G43" s="7">
        <f t="shared" si="7"/>
        <v>840</v>
      </c>
      <c r="H43" s="14">
        <v>42</v>
      </c>
      <c r="I43" s="7">
        <v>4.43</v>
      </c>
      <c r="J43" s="34">
        <f>N43/F$41</f>
        <v>6.25</v>
      </c>
      <c r="K43" s="73">
        <f>J43/I41-1</f>
        <v>0.4108352144469527</v>
      </c>
      <c r="L43" s="34"/>
      <c r="M43" s="14"/>
      <c r="N43" s="103">
        <v>125</v>
      </c>
      <c r="O43" s="11"/>
      <c r="P43" s="28" t="s">
        <v>32</v>
      </c>
    </row>
    <row r="44" spans="1:16" ht="15.75" customHeight="1">
      <c r="A44" s="79" t="s">
        <v>53</v>
      </c>
      <c r="B44" s="81" t="s">
        <v>54</v>
      </c>
      <c r="C44" s="10" t="s">
        <v>28</v>
      </c>
      <c r="D44" s="40" t="s">
        <v>55</v>
      </c>
      <c r="E44" s="40">
        <v>5</v>
      </c>
      <c r="F44" s="10">
        <v>40</v>
      </c>
      <c r="G44" s="10">
        <f t="shared" si="7"/>
        <v>1680</v>
      </c>
      <c r="H44" s="10">
        <v>42</v>
      </c>
      <c r="I44" s="10">
        <v>4.92</v>
      </c>
      <c r="J44" s="9">
        <v>6.5</v>
      </c>
      <c r="K44" s="73">
        <f t="shared" si="2"/>
        <v>0.32113821138211374</v>
      </c>
      <c r="L44" s="9">
        <f>N44/8</f>
        <v>32.5</v>
      </c>
      <c r="M44" s="10"/>
      <c r="N44" s="103">
        <f>J44*F44</f>
        <v>260</v>
      </c>
      <c r="O44" s="11"/>
      <c r="P44" s="41" t="s">
        <v>56</v>
      </c>
    </row>
    <row r="45" spans="1:16" ht="15.75" customHeight="1">
      <c r="A45" s="79" t="s">
        <v>53</v>
      </c>
      <c r="B45" s="81" t="s">
        <v>57</v>
      </c>
      <c r="C45" s="10" t="s">
        <v>28</v>
      </c>
      <c r="D45" s="40" t="s">
        <v>58</v>
      </c>
      <c r="E45" s="40">
        <v>5</v>
      </c>
      <c r="F45" s="10">
        <v>40</v>
      </c>
      <c r="G45" s="10">
        <f t="shared" si="7"/>
        <v>1680</v>
      </c>
      <c r="H45" s="10">
        <v>42</v>
      </c>
      <c r="I45" s="10">
        <v>4.7300000000000004</v>
      </c>
      <c r="J45" s="9">
        <v>6.5</v>
      </c>
      <c r="K45" s="73">
        <f t="shared" si="2"/>
        <v>0.37420718816067633</v>
      </c>
      <c r="L45" s="9">
        <f>N45/8</f>
        <v>32.5</v>
      </c>
      <c r="M45" s="10"/>
      <c r="N45" s="103">
        <f>J45*F45</f>
        <v>260</v>
      </c>
      <c r="O45" s="11"/>
      <c r="P45" s="41" t="s">
        <v>56</v>
      </c>
    </row>
    <row r="46" spans="1:16" s="45" customFormat="1" ht="15.75" customHeight="1">
      <c r="A46" s="75" t="s">
        <v>59</v>
      </c>
      <c r="B46" s="82" t="s">
        <v>60</v>
      </c>
      <c r="C46" s="7" t="s">
        <v>28</v>
      </c>
      <c r="D46" s="42" t="s">
        <v>61</v>
      </c>
      <c r="E46" s="7" t="s">
        <v>34</v>
      </c>
      <c r="F46" s="7">
        <v>30</v>
      </c>
      <c r="G46" s="7">
        <f t="shared" si="7"/>
        <v>1260</v>
      </c>
      <c r="H46" s="10">
        <v>42</v>
      </c>
      <c r="I46" s="7">
        <v>4.84</v>
      </c>
      <c r="J46" s="9">
        <f>N46/F46</f>
        <v>6.333333333333333</v>
      </c>
      <c r="K46" s="73">
        <f t="shared" si="2"/>
        <v>0.30853994490358128</v>
      </c>
      <c r="L46" s="9"/>
      <c r="M46" s="10"/>
      <c r="N46" s="103">
        <v>190</v>
      </c>
      <c r="O46" s="43"/>
      <c r="P46" s="44" t="s">
        <v>62</v>
      </c>
    </row>
    <row r="47" spans="1:16" s="45" customFormat="1" ht="15.75" customHeight="1">
      <c r="A47" s="75" t="s">
        <v>59</v>
      </c>
      <c r="B47" s="82" t="s">
        <v>60</v>
      </c>
      <c r="C47" s="7" t="s">
        <v>28</v>
      </c>
      <c r="D47" s="42" t="s">
        <v>61</v>
      </c>
      <c r="E47" s="7" t="s">
        <v>34</v>
      </c>
      <c r="F47" s="7">
        <v>30</v>
      </c>
      <c r="G47" s="7">
        <f t="shared" si="7"/>
        <v>1260</v>
      </c>
      <c r="H47" s="10">
        <v>42</v>
      </c>
      <c r="I47" s="7">
        <v>4.84</v>
      </c>
      <c r="J47" s="9">
        <f>N47/F46</f>
        <v>5.75</v>
      </c>
      <c r="K47" s="73">
        <f>J47/I46-1</f>
        <v>0.18801652892561993</v>
      </c>
      <c r="L47" s="31"/>
      <c r="M47" s="7"/>
      <c r="N47" s="80">
        <v>172.5</v>
      </c>
      <c r="O47" s="46"/>
      <c r="P47" s="39" t="s">
        <v>36</v>
      </c>
    </row>
    <row r="48" spans="1:16" s="45" customFormat="1" ht="15.75" customHeight="1">
      <c r="A48" s="75" t="s">
        <v>59</v>
      </c>
      <c r="B48" s="82" t="s">
        <v>60</v>
      </c>
      <c r="C48" s="7" t="s">
        <v>28</v>
      </c>
      <c r="D48" s="42" t="s">
        <v>61</v>
      </c>
      <c r="E48" s="7" t="s">
        <v>34</v>
      </c>
      <c r="F48" s="7">
        <v>30</v>
      </c>
      <c r="G48" s="7">
        <f t="shared" ref="G48" si="12">F48*42</f>
        <v>1260</v>
      </c>
      <c r="H48" s="10">
        <v>42</v>
      </c>
      <c r="I48" s="7">
        <v>4.84</v>
      </c>
      <c r="J48" s="31">
        <f>N48/F48</f>
        <v>6.35</v>
      </c>
      <c r="K48" s="73">
        <f>J48/I47-1</f>
        <v>0.31198347107438007</v>
      </c>
      <c r="L48" s="31"/>
      <c r="M48" s="7"/>
      <c r="N48" s="80">
        <v>190.5</v>
      </c>
      <c r="O48" s="46"/>
      <c r="P48" s="28" t="s">
        <v>32</v>
      </c>
    </row>
    <row r="49" spans="1:16" s="45" customFormat="1" ht="15.75" customHeight="1">
      <c r="A49" s="75" t="s">
        <v>59</v>
      </c>
      <c r="B49" s="82" t="s">
        <v>63</v>
      </c>
      <c r="C49" s="7" t="s">
        <v>28</v>
      </c>
      <c r="D49" s="42" t="s">
        <v>64</v>
      </c>
      <c r="E49" s="7">
        <v>1.1000000000000001</v>
      </c>
      <c r="F49" s="7">
        <f>18*1.1</f>
        <v>19.8</v>
      </c>
      <c r="G49" s="7">
        <f t="shared" ref="G49:G56" si="13">F49*42</f>
        <v>831.6</v>
      </c>
      <c r="H49" s="7">
        <v>42</v>
      </c>
      <c r="I49" s="7">
        <v>5.34</v>
      </c>
      <c r="J49" s="31">
        <f>N49/F49</f>
        <v>5.954545454545455</v>
      </c>
      <c r="K49" s="73">
        <f t="shared" si="2"/>
        <v>0.11508341845420511</v>
      </c>
      <c r="L49" s="31">
        <f>N49/18</f>
        <v>6.5500000000000007</v>
      </c>
      <c r="M49" s="7"/>
      <c r="N49" s="80">
        <v>117.9</v>
      </c>
      <c r="O49" s="31">
        <f>6.36*18</f>
        <v>114.48</v>
      </c>
      <c r="P49" s="47" t="s">
        <v>65</v>
      </c>
    </row>
    <row r="50" spans="1:16" s="45" customFormat="1" ht="15.75" customHeight="1">
      <c r="A50" s="75" t="s">
        <v>59</v>
      </c>
      <c r="B50" s="82" t="s">
        <v>63</v>
      </c>
      <c r="C50" s="7" t="s">
        <v>28</v>
      </c>
      <c r="D50" s="95" t="s">
        <v>67</v>
      </c>
      <c r="E50" s="10" t="s">
        <v>34</v>
      </c>
      <c r="F50" s="60">
        <v>30</v>
      </c>
      <c r="G50" s="60">
        <f t="shared" ref="G50" si="14">F50*42</f>
        <v>1260</v>
      </c>
      <c r="H50" s="60">
        <v>42</v>
      </c>
      <c r="I50" s="7" t="s">
        <v>34</v>
      </c>
      <c r="J50" s="96">
        <v>6.35</v>
      </c>
      <c r="K50" s="7" t="s">
        <v>34</v>
      </c>
      <c r="L50" s="96"/>
      <c r="M50" s="60"/>
      <c r="N50" s="103">
        <f>J50*F50</f>
        <v>190.5</v>
      </c>
      <c r="O50" s="97"/>
      <c r="P50" s="98" t="s">
        <v>123</v>
      </c>
    </row>
    <row r="51" spans="1:16" s="45" customFormat="1" ht="15.6" customHeight="1">
      <c r="A51" s="75" t="s">
        <v>59</v>
      </c>
      <c r="B51" s="86" t="s">
        <v>66</v>
      </c>
      <c r="C51" s="48" t="s">
        <v>28</v>
      </c>
      <c r="D51" s="49" t="s">
        <v>67</v>
      </c>
      <c r="E51" s="48" t="s">
        <v>34</v>
      </c>
      <c r="F51" s="50">
        <v>30</v>
      </c>
      <c r="G51" s="50">
        <f t="shared" si="13"/>
        <v>1260</v>
      </c>
      <c r="H51" s="50">
        <v>42</v>
      </c>
      <c r="I51" s="7" t="s">
        <v>34</v>
      </c>
      <c r="J51" s="51">
        <v>5.15</v>
      </c>
      <c r="K51" s="7" t="s">
        <v>34</v>
      </c>
      <c r="L51" s="51"/>
      <c r="M51" s="50"/>
      <c r="N51" s="107">
        <v>117.9</v>
      </c>
      <c r="O51" s="51"/>
      <c r="P51" s="52"/>
    </row>
    <row r="52" spans="1:16" s="45" customFormat="1" ht="15.75" customHeight="1">
      <c r="A52" s="75" t="s">
        <v>59</v>
      </c>
      <c r="B52" s="83" t="s">
        <v>68</v>
      </c>
      <c r="C52" s="53" t="s">
        <v>28</v>
      </c>
      <c r="D52" s="54" t="s">
        <v>69</v>
      </c>
      <c r="E52" s="55" t="s">
        <v>34</v>
      </c>
      <c r="F52" s="53">
        <v>30</v>
      </c>
      <c r="G52" s="50">
        <f t="shared" si="13"/>
        <v>1260</v>
      </c>
      <c r="H52" s="53">
        <v>42</v>
      </c>
      <c r="I52" s="7" t="s">
        <v>34</v>
      </c>
      <c r="J52" s="56"/>
      <c r="K52" s="7" t="s">
        <v>34</v>
      </c>
      <c r="L52" s="56"/>
      <c r="M52" s="53"/>
      <c r="N52" s="108"/>
      <c r="O52" s="56"/>
      <c r="P52" s="57"/>
    </row>
    <row r="53" spans="1:16" s="45" customFormat="1" ht="15.75" customHeight="1">
      <c r="A53" s="75" t="s">
        <v>70</v>
      </c>
      <c r="B53" s="78" t="s">
        <v>71</v>
      </c>
      <c r="C53" s="30" t="s">
        <v>72</v>
      </c>
      <c r="D53" s="10" t="s">
        <v>73</v>
      </c>
      <c r="E53" s="10">
        <v>5</v>
      </c>
      <c r="F53" s="10">
        <v>30</v>
      </c>
      <c r="G53" s="7">
        <f t="shared" si="13"/>
        <v>1260</v>
      </c>
      <c r="H53" s="10">
        <v>42</v>
      </c>
      <c r="I53" s="10">
        <v>0.94</v>
      </c>
      <c r="J53" s="9">
        <f>N53/F53</f>
        <v>1.1499999999999999</v>
      </c>
      <c r="K53" s="73">
        <f t="shared" si="2"/>
        <v>0.22340425531914887</v>
      </c>
      <c r="L53" s="9">
        <f>N53/6</f>
        <v>5.75</v>
      </c>
      <c r="M53" s="10"/>
      <c r="N53" s="103">
        <v>34.5</v>
      </c>
      <c r="O53" s="11">
        <v>30</v>
      </c>
      <c r="P53" s="58" t="s">
        <v>122</v>
      </c>
    </row>
    <row r="54" spans="1:16" ht="15.75">
      <c r="A54" s="75" t="s">
        <v>70</v>
      </c>
      <c r="B54" s="78" t="s">
        <v>74</v>
      </c>
      <c r="C54" s="30" t="s">
        <v>72</v>
      </c>
      <c r="D54" s="16" t="s">
        <v>75</v>
      </c>
      <c r="E54" s="16">
        <v>1.1000000000000001</v>
      </c>
      <c r="F54" s="10">
        <f>25*1.1</f>
        <v>27.500000000000004</v>
      </c>
      <c r="G54" s="10">
        <f t="shared" si="13"/>
        <v>1155.0000000000002</v>
      </c>
      <c r="H54" s="10">
        <v>42</v>
      </c>
      <c r="I54" s="10">
        <v>1.42</v>
      </c>
      <c r="J54" s="9">
        <f>N54/F54</f>
        <v>1.6363636363636362</v>
      </c>
      <c r="K54" s="73">
        <f t="shared" si="2"/>
        <v>0.15236875800256078</v>
      </c>
      <c r="L54" s="9">
        <f>N54/25</f>
        <v>1.8</v>
      </c>
      <c r="M54" s="10"/>
      <c r="N54" s="103">
        <v>45</v>
      </c>
      <c r="O54" s="9">
        <v>45</v>
      </c>
      <c r="P54" s="59" t="s">
        <v>20</v>
      </c>
    </row>
    <row r="55" spans="1:16" s="45" customFormat="1" ht="18" customHeight="1">
      <c r="A55" s="7" t="s">
        <v>76</v>
      </c>
      <c r="B55" s="85" t="s">
        <v>77</v>
      </c>
      <c r="C55" s="30" t="s">
        <v>15</v>
      </c>
      <c r="D55" s="17" t="s">
        <v>78</v>
      </c>
      <c r="E55" s="17">
        <v>0.875</v>
      </c>
      <c r="F55" s="60">
        <f>E55*24</f>
        <v>21</v>
      </c>
      <c r="G55" s="10">
        <f t="shared" si="13"/>
        <v>882</v>
      </c>
      <c r="H55" s="10">
        <v>42</v>
      </c>
      <c r="I55" s="10">
        <v>9.1199999999999992</v>
      </c>
      <c r="J55" s="9">
        <f>N55/F55</f>
        <v>10.8</v>
      </c>
      <c r="K55" s="73">
        <f t="shared" si="2"/>
        <v>0.1842105263157896</v>
      </c>
      <c r="L55" s="9">
        <f>N55/24</f>
        <v>9.4500000000000011</v>
      </c>
      <c r="M55" s="10"/>
      <c r="N55" s="103">
        <v>226.8</v>
      </c>
      <c r="O55" s="9">
        <v>226.8</v>
      </c>
      <c r="P55" s="18" t="s">
        <v>20</v>
      </c>
    </row>
    <row r="56" spans="1:16" s="45" customFormat="1" ht="18" customHeight="1">
      <c r="A56" s="7" t="s">
        <v>76</v>
      </c>
      <c r="B56" s="85" t="s">
        <v>79</v>
      </c>
      <c r="C56" s="30" t="s">
        <v>15</v>
      </c>
      <c r="D56" s="17" t="s">
        <v>80</v>
      </c>
      <c r="E56" s="17">
        <v>0.75</v>
      </c>
      <c r="F56" s="60">
        <v>19.5</v>
      </c>
      <c r="G56" s="10">
        <f t="shared" si="13"/>
        <v>819</v>
      </c>
      <c r="H56" s="10">
        <v>42</v>
      </c>
      <c r="I56" s="10">
        <v>5.21</v>
      </c>
      <c r="J56" s="9">
        <f>O56/F56</f>
        <v>7.5066666666666668</v>
      </c>
      <c r="K56" s="73">
        <f t="shared" si="2"/>
        <v>0.44081893793985927</v>
      </c>
      <c r="L56" s="9">
        <f>N56/26</f>
        <v>5.63</v>
      </c>
      <c r="M56" s="10"/>
      <c r="N56" s="103">
        <v>146.38</v>
      </c>
      <c r="O56" s="9">
        <v>146.38</v>
      </c>
      <c r="P56" s="18" t="s">
        <v>20</v>
      </c>
    </row>
    <row r="57" spans="1:16" s="62" customFormat="1" ht="18" customHeight="1">
      <c r="A57" s="99" t="s">
        <v>81</v>
      </c>
      <c r="B57" s="85" t="s">
        <v>82</v>
      </c>
      <c r="C57" s="30" t="s">
        <v>15</v>
      </c>
      <c r="D57" s="17" t="s">
        <v>83</v>
      </c>
      <c r="E57" s="64"/>
      <c r="F57" s="65"/>
      <c r="G57" s="65"/>
      <c r="H57" s="65"/>
      <c r="I57" s="65"/>
      <c r="J57" s="66"/>
      <c r="K57" s="7" t="s">
        <v>34</v>
      </c>
      <c r="L57" s="66"/>
      <c r="M57" s="67"/>
      <c r="N57" s="109"/>
      <c r="O57" s="63"/>
      <c r="P57" s="61"/>
    </row>
    <row r="58" spans="1:16" s="62" customFormat="1" ht="19.5" customHeight="1">
      <c r="A58" s="75" t="s">
        <v>84</v>
      </c>
      <c r="B58" s="87" t="s">
        <v>85</v>
      </c>
      <c r="C58" s="7" t="s">
        <v>86</v>
      </c>
      <c r="D58" s="68" t="s">
        <v>87</v>
      </c>
      <c r="E58" s="68">
        <v>5</v>
      </c>
      <c r="F58" s="60">
        <v>40</v>
      </c>
      <c r="G58" s="10">
        <f>F58*H58</f>
        <v>1400</v>
      </c>
      <c r="H58" s="10">
        <v>35</v>
      </c>
      <c r="I58" s="10">
        <v>1.26</v>
      </c>
      <c r="J58" s="9">
        <v>1.95</v>
      </c>
      <c r="K58" s="73">
        <f t="shared" si="2"/>
        <v>0.54761904761904767</v>
      </c>
      <c r="L58" s="9">
        <f>N58/8</f>
        <v>9.75</v>
      </c>
      <c r="M58" s="10"/>
      <c r="N58" s="103">
        <f>J58*F58</f>
        <v>78</v>
      </c>
      <c r="O58" s="11"/>
      <c r="P58" s="69" t="s">
        <v>88</v>
      </c>
    </row>
    <row r="59" spans="1:16" s="62" customFormat="1" ht="21" customHeight="1">
      <c r="A59" s="75" t="s">
        <v>84</v>
      </c>
      <c r="B59" s="87" t="s">
        <v>89</v>
      </c>
      <c r="C59" s="7" t="s">
        <v>86</v>
      </c>
      <c r="D59" s="68" t="s">
        <v>90</v>
      </c>
      <c r="E59" s="68">
        <v>5</v>
      </c>
      <c r="F59" s="60">
        <v>40</v>
      </c>
      <c r="G59" s="10">
        <f t="shared" ref="G59:G69" si="15">F59*H59</f>
        <v>1400</v>
      </c>
      <c r="H59" s="10">
        <v>35</v>
      </c>
      <c r="I59" s="10">
        <v>1.53</v>
      </c>
      <c r="J59" s="9">
        <v>2.2999999999999998</v>
      </c>
      <c r="K59" s="73">
        <f t="shared" si="2"/>
        <v>0.50326797385620892</v>
      </c>
      <c r="L59" s="9">
        <f t="shared" ref="L59:L69" si="16">N59/8</f>
        <v>11.5</v>
      </c>
      <c r="M59" s="10"/>
      <c r="N59" s="103">
        <f t="shared" ref="N59:N69" si="17">J59*F59</f>
        <v>92</v>
      </c>
      <c r="O59" s="11"/>
      <c r="P59" s="69" t="s">
        <v>88</v>
      </c>
    </row>
    <row r="60" spans="1:16" s="62" customFormat="1" ht="21" customHeight="1">
      <c r="A60" s="75" t="s">
        <v>84</v>
      </c>
      <c r="B60" s="87" t="s">
        <v>91</v>
      </c>
      <c r="C60" s="7" t="s">
        <v>86</v>
      </c>
      <c r="D60" s="68" t="s">
        <v>92</v>
      </c>
      <c r="E60" s="68">
        <v>5</v>
      </c>
      <c r="F60" s="60">
        <v>40</v>
      </c>
      <c r="G60" s="10">
        <f t="shared" si="15"/>
        <v>1400</v>
      </c>
      <c r="H60" s="10">
        <v>35</v>
      </c>
      <c r="I60" s="10">
        <v>1.76</v>
      </c>
      <c r="J60" s="9">
        <v>2.2999999999999998</v>
      </c>
      <c r="K60" s="73">
        <f t="shared" si="2"/>
        <v>0.30681818181818166</v>
      </c>
      <c r="L60" s="9">
        <f t="shared" si="16"/>
        <v>11.5</v>
      </c>
      <c r="M60" s="10"/>
      <c r="N60" s="103">
        <f t="shared" si="17"/>
        <v>92</v>
      </c>
      <c r="O60" s="11"/>
      <c r="P60" s="69" t="s">
        <v>88</v>
      </c>
    </row>
    <row r="61" spans="1:16" s="62" customFormat="1" ht="18" customHeight="1">
      <c r="A61" s="75" t="s">
        <v>84</v>
      </c>
      <c r="B61" s="87" t="s">
        <v>93</v>
      </c>
      <c r="C61" s="7" t="s">
        <v>86</v>
      </c>
      <c r="D61" s="68" t="s">
        <v>94</v>
      </c>
      <c r="E61" s="68">
        <v>5</v>
      </c>
      <c r="F61" s="60">
        <v>40</v>
      </c>
      <c r="G61" s="10">
        <f t="shared" si="15"/>
        <v>1400</v>
      </c>
      <c r="H61" s="10">
        <v>35</v>
      </c>
      <c r="I61" s="7" t="s">
        <v>34</v>
      </c>
      <c r="J61" s="9">
        <v>5.2</v>
      </c>
      <c r="K61" s="7" t="s">
        <v>34</v>
      </c>
      <c r="L61" s="9">
        <f t="shared" si="16"/>
        <v>26</v>
      </c>
      <c r="M61" s="10"/>
      <c r="N61" s="103">
        <f t="shared" si="17"/>
        <v>208</v>
      </c>
      <c r="O61" s="11"/>
      <c r="P61" s="69" t="s">
        <v>88</v>
      </c>
    </row>
    <row r="62" spans="1:16" s="62" customFormat="1" ht="22.5" customHeight="1">
      <c r="A62" s="75" t="s">
        <v>84</v>
      </c>
      <c r="B62" s="87" t="s">
        <v>95</v>
      </c>
      <c r="C62" s="7" t="s">
        <v>86</v>
      </c>
      <c r="D62" s="68" t="s">
        <v>96</v>
      </c>
      <c r="E62" s="68">
        <v>5</v>
      </c>
      <c r="F62" s="60">
        <v>40</v>
      </c>
      <c r="G62" s="10">
        <f t="shared" si="15"/>
        <v>1400</v>
      </c>
      <c r="H62" s="10">
        <v>35</v>
      </c>
      <c r="I62" s="10">
        <v>2.75</v>
      </c>
      <c r="J62" s="9">
        <v>3.38</v>
      </c>
      <c r="K62" s="73">
        <f t="shared" si="2"/>
        <v>0.22909090909090901</v>
      </c>
      <c r="L62" s="9">
        <f t="shared" si="16"/>
        <v>16.899999999999999</v>
      </c>
      <c r="M62" s="10"/>
      <c r="N62" s="103">
        <f t="shared" si="17"/>
        <v>135.19999999999999</v>
      </c>
      <c r="O62" s="11"/>
      <c r="P62" s="69" t="s">
        <v>88</v>
      </c>
    </row>
    <row r="63" spans="1:16" s="62" customFormat="1" ht="20.25" customHeight="1">
      <c r="A63" s="75" t="s">
        <v>84</v>
      </c>
      <c r="B63" s="87" t="s">
        <v>97</v>
      </c>
      <c r="C63" s="7" t="s">
        <v>86</v>
      </c>
      <c r="D63" s="68" t="s">
        <v>98</v>
      </c>
      <c r="E63" s="68">
        <v>5</v>
      </c>
      <c r="F63" s="60">
        <v>40</v>
      </c>
      <c r="G63" s="10">
        <f t="shared" si="15"/>
        <v>1400</v>
      </c>
      <c r="H63" s="10">
        <v>35</v>
      </c>
      <c r="I63" s="10">
        <v>2.7</v>
      </c>
      <c r="J63" s="9">
        <v>3.78</v>
      </c>
      <c r="K63" s="73">
        <f t="shared" si="2"/>
        <v>0.39999999999999991</v>
      </c>
      <c r="L63" s="9">
        <f t="shared" si="16"/>
        <v>18.899999999999999</v>
      </c>
      <c r="M63" s="10"/>
      <c r="N63" s="103">
        <f t="shared" si="17"/>
        <v>151.19999999999999</v>
      </c>
      <c r="O63" s="11"/>
      <c r="P63" s="69" t="s">
        <v>88</v>
      </c>
    </row>
    <row r="64" spans="1:16" s="62" customFormat="1" ht="18" customHeight="1">
      <c r="A64" s="75" t="s">
        <v>84</v>
      </c>
      <c r="B64" s="87" t="s">
        <v>99</v>
      </c>
      <c r="C64" s="7" t="s">
        <v>86</v>
      </c>
      <c r="D64" s="68" t="s">
        <v>100</v>
      </c>
      <c r="E64" s="68">
        <v>5</v>
      </c>
      <c r="F64" s="60">
        <v>40</v>
      </c>
      <c r="G64" s="10">
        <f t="shared" si="15"/>
        <v>1400</v>
      </c>
      <c r="H64" s="10">
        <v>35</v>
      </c>
      <c r="I64" s="10">
        <v>2.58</v>
      </c>
      <c r="J64" s="9">
        <v>3.65</v>
      </c>
      <c r="K64" s="73">
        <f t="shared" si="2"/>
        <v>0.41472868217054248</v>
      </c>
      <c r="L64" s="9">
        <f t="shared" si="16"/>
        <v>18.25</v>
      </c>
      <c r="M64" s="10"/>
      <c r="N64" s="103">
        <f>J64*F64</f>
        <v>146</v>
      </c>
      <c r="O64" s="11"/>
      <c r="P64" s="69" t="s">
        <v>88</v>
      </c>
    </row>
    <row r="65" spans="1:16" s="62" customFormat="1" ht="19.5" customHeight="1">
      <c r="A65" s="75" t="s">
        <v>84</v>
      </c>
      <c r="B65" s="87" t="s">
        <v>101</v>
      </c>
      <c r="C65" s="30" t="s">
        <v>118</v>
      </c>
      <c r="D65" s="68" t="s">
        <v>102</v>
      </c>
      <c r="E65" s="68">
        <v>5</v>
      </c>
      <c r="F65" s="60">
        <v>40</v>
      </c>
      <c r="G65" s="10">
        <f t="shared" si="15"/>
        <v>1400</v>
      </c>
      <c r="H65" s="10">
        <v>35</v>
      </c>
      <c r="I65" s="10">
        <v>1.7</v>
      </c>
      <c r="J65" s="9">
        <v>2.7</v>
      </c>
      <c r="K65" s="73">
        <f t="shared" si="2"/>
        <v>0.58823529411764719</v>
      </c>
      <c r="L65" s="9">
        <f t="shared" si="16"/>
        <v>13.5</v>
      </c>
      <c r="M65" s="10"/>
      <c r="N65" s="103">
        <f t="shared" si="17"/>
        <v>108</v>
      </c>
      <c r="O65" s="11"/>
      <c r="P65" s="69" t="s">
        <v>88</v>
      </c>
    </row>
    <row r="66" spans="1:16" s="62" customFormat="1" ht="19.5" customHeight="1">
      <c r="A66" s="75" t="s">
        <v>84</v>
      </c>
      <c r="B66" s="87" t="s">
        <v>103</v>
      </c>
      <c r="C66" s="30" t="s">
        <v>118</v>
      </c>
      <c r="D66" s="68" t="s">
        <v>104</v>
      </c>
      <c r="E66" s="68">
        <v>5</v>
      </c>
      <c r="F66" s="60">
        <v>40</v>
      </c>
      <c r="G66" s="10">
        <f t="shared" si="15"/>
        <v>1400</v>
      </c>
      <c r="H66" s="10">
        <v>35</v>
      </c>
      <c r="I66" s="10">
        <v>2.6</v>
      </c>
      <c r="J66" s="9">
        <v>4</v>
      </c>
      <c r="K66" s="73">
        <f t="shared" si="2"/>
        <v>0.53846153846153832</v>
      </c>
      <c r="L66" s="9">
        <f t="shared" si="16"/>
        <v>20</v>
      </c>
      <c r="M66" s="10"/>
      <c r="N66" s="103">
        <f t="shared" si="17"/>
        <v>160</v>
      </c>
      <c r="O66" s="11"/>
      <c r="P66" s="69" t="s">
        <v>88</v>
      </c>
    </row>
    <row r="67" spans="1:16" s="62" customFormat="1" ht="19.5" customHeight="1">
      <c r="A67" s="75" t="s">
        <v>84</v>
      </c>
      <c r="B67" s="88" t="s">
        <v>105</v>
      </c>
      <c r="C67" s="30" t="s">
        <v>118</v>
      </c>
      <c r="D67" s="68" t="s">
        <v>106</v>
      </c>
      <c r="E67" s="68">
        <v>5</v>
      </c>
      <c r="F67" s="60">
        <v>40</v>
      </c>
      <c r="G67" s="10">
        <f t="shared" si="15"/>
        <v>1400</v>
      </c>
      <c r="H67" s="10">
        <v>35</v>
      </c>
      <c r="I67" s="7">
        <v>7.5</v>
      </c>
      <c r="J67" s="9">
        <f>N67/40</f>
        <v>7.5</v>
      </c>
      <c r="K67" s="7" t="s">
        <v>34</v>
      </c>
      <c r="L67" s="9">
        <f t="shared" si="16"/>
        <v>37.5</v>
      </c>
      <c r="M67" s="10"/>
      <c r="N67" s="103">
        <v>300</v>
      </c>
      <c r="O67" s="11"/>
      <c r="P67" s="44" t="s">
        <v>17</v>
      </c>
    </row>
    <row r="68" spans="1:16" s="70" customFormat="1" ht="21">
      <c r="A68" s="75" t="s">
        <v>84</v>
      </c>
      <c r="B68" s="87" t="s">
        <v>107</v>
      </c>
      <c r="C68" s="100" t="s">
        <v>108</v>
      </c>
      <c r="D68" s="68" t="s">
        <v>109</v>
      </c>
      <c r="E68" s="68">
        <v>5</v>
      </c>
      <c r="F68" s="60">
        <v>40</v>
      </c>
      <c r="G68" s="10">
        <f t="shared" si="15"/>
        <v>1400</v>
      </c>
      <c r="H68" s="10">
        <v>35</v>
      </c>
      <c r="I68" s="10">
        <v>1.58</v>
      </c>
      <c r="J68" s="9">
        <v>3.1</v>
      </c>
      <c r="K68" s="73">
        <f t="shared" si="2"/>
        <v>0.96202531645569622</v>
      </c>
      <c r="L68" s="9">
        <f>N68/8</f>
        <v>15.5</v>
      </c>
      <c r="M68" s="10"/>
      <c r="N68" s="103">
        <f t="shared" si="17"/>
        <v>124</v>
      </c>
      <c r="O68" s="11"/>
      <c r="P68" s="69" t="s">
        <v>88</v>
      </c>
    </row>
    <row r="69" spans="1:16" s="62" customFormat="1" ht="19.5" customHeight="1">
      <c r="A69" s="75" t="s">
        <v>84</v>
      </c>
      <c r="B69" s="87" t="s">
        <v>110</v>
      </c>
      <c r="C69" s="94"/>
      <c r="D69" s="68" t="s">
        <v>111</v>
      </c>
      <c r="E69" s="68">
        <v>5</v>
      </c>
      <c r="F69" s="60">
        <v>40</v>
      </c>
      <c r="G69" s="10">
        <f t="shared" si="15"/>
        <v>1400</v>
      </c>
      <c r="H69" s="10">
        <v>35</v>
      </c>
      <c r="I69" s="7" t="s">
        <v>34</v>
      </c>
      <c r="J69" s="9">
        <v>4</v>
      </c>
      <c r="K69" s="7" t="s">
        <v>34</v>
      </c>
      <c r="L69" s="9">
        <f t="shared" si="16"/>
        <v>20</v>
      </c>
      <c r="M69" s="10"/>
      <c r="N69" s="103">
        <f t="shared" si="17"/>
        <v>160</v>
      </c>
      <c r="O69" s="11"/>
      <c r="P69" s="69" t="s">
        <v>88</v>
      </c>
    </row>
  </sheetData>
  <autoFilter ref="A1:R69" xr:uid="{57A31AB5-A5B3-4549-84CF-985A174AC5BE}"/>
  <phoneticPr fontId="13" type="noConversion"/>
  <pageMargins left="0.36" right="0.36" top="0.75" bottom="0.75" header="0.3" footer="0.3"/>
  <pageSetup scale="44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Item Classification 7.14.26</vt:lpstr>
      <vt:lpstr>'Item Classification 7.14.26'!Print_Area</vt:lpstr>
      <vt:lpstr>'Item Classification 7.14.26'!Print_Titles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Moonjun Kim</dc:creator>
  <cp:lastModifiedBy>Moonjun Kim</cp:lastModifiedBy>
  <cp:lastPrinted>2026-08-04T00:19:47Z</cp:lastPrinted>
  <dcterms:created xsi:type="dcterms:W3CDTF">2026-07-15T19:32:34Z</dcterms:created>
  <dcterms:modified xsi:type="dcterms:W3CDTF">2026-09-03T21:26:40Z</dcterms:modified>
</cp:coreProperties>
</file>