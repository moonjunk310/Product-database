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E70A3C6B-2995-402C-B50B-E063C45F76E3}" xr6:coauthVersionLast="47" xr6:coauthVersionMax="47" xr10:uidLastSave="{00000000-0000-0000-0000-000000000000}"/>
  <bookViews>
    <workbookView xWindow="2868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" l="1"/>
  <c r="G39" i="1"/>
  <c r="G34" i="1"/>
  <c r="G35" i="1"/>
  <c r="G31" i="1"/>
  <c r="G32" i="1"/>
  <c r="G27" i="1"/>
  <c r="G28" i="1"/>
  <c r="G29" i="1"/>
  <c r="J22" i="1"/>
  <c r="G21" i="1"/>
  <c r="G22" i="1"/>
  <c r="G23" i="1"/>
  <c r="G15" i="1"/>
  <c r="J13" i="1"/>
  <c r="G13" i="1"/>
  <c r="G6" i="1"/>
  <c r="G3" i="1"/>
  <c r="J18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J37" i="1"/>
  <c r="K37" i="1" s="1"/>
  <c r="G37" i="1"/>
  <c r="L36" i="1"/>
  <c r="J36" i="1"/>
  <c r="K36" i="1" s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1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<sst xmlns="http://schemas.openxmlformats.org/spreadsheetml/2006/main" count="343" uniqueCount="124">
  <si>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</si>
  <si>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</si>
  <si>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</si>
  <si>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</si>
  <si>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</si>
  <si>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</si>
  <si>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</si>
  <si>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</si>
  <si>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</si>
  <si>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</si>
  <si>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</si>
  <si>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</si>
  <si>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</si>
  <si>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</si>
  <si>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</si>
  <si>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</si>
  <si>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</si>
  <si>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</si>
  <si>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</si>
  <si>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</si>
  <si>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</si>
  <si>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</si>
  <si>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</si>
  <si>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</si>
  <si>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</si>
  <si>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</si>
  <si>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</si>
  <si>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</si>
  <si>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</si>
  <si>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</si>
  <si>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</si>
  <si>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</si>
  <si>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</si>
  <si>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</si>
  <si>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</si>
  <si>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</si>
  <si>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</si>
  <si>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</si>
  <si>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</si>
  <si>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</si>
  <si>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</si>
  <si>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</si>
  <si>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</si>
  <si>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</si>
  <si>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</si>
  <si>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</si>
  <si>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</si>
  <si>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</si>
  <si>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</si>
  <si>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</si>
  <si>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</si>
  <si>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</si>
  <si>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</si>
  <si>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</si>
  <si>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</si>
  <si>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</si>
  <si>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</si>
  <si>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</si>
  <si>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</si>
  <si>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</si>
  <si>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</si>
  <si>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</si>
  <si>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</si>
  <si>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</si>
  <si>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</si>
  <si>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</si>
  <si>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</si>
  <si>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</si>
  <si>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</si>
  <si>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</si>
  <si>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</si>
  <si>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</si>
  <si>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</si>
  <si>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</si>
  <si>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1:30 ratio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</si>
  <si>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</si>
  <si>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</si>
  <si>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</si>
  <si>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</si>
  <si>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</si>
  <si>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</si>
  <si>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</si>
  <si>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</si>
  <si>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</si>
  <si>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</si>
  <si>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</si>
  <si>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</si>
  <si>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</si>
  <si>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</si>
  <si>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</si>
  <si>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</si>
  <si>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</si>
  <si>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</si>
  <si>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</si>
  <si>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</si>
  <si>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</si>
  <si>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</si>
  <si>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</si>
  <si>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</si>
  <si>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</si>
  <si>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</si>
  <si>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</si>
  <si>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</si>
  <si>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</si>
  <si>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</si>
  <si>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</si>
  <si>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</si>
  <si>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</si>
  <si>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</si>
  <si>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</si>
  <si>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</si>
  <si>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</si>
  <si>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</si>
  <si>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</si>
  <si>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</si>
  <si>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</si>
  <si>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</si>
  <si>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</si>
  <si>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</si>
  <si>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</si>
  <si>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</si>
  <si>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</si>
  <si>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</si>
  <si>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1:15 ratio; Wooltari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</si>
</sst>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1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64" fontId="5" fillId="0" borderId="9" xfId="0" applyNumberFormat="1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0" borderId="5" xfId="0" applyFont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164" fontId="5" fillId="2" borderId="9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4" fontId="6" fillId="0" borderId="5" xfId="0" applyNumberFormat="1" applyFont="1" applyFill="1" applyBorder="1" applyAlignment="1">
      <alignment horizontal="center" vertical="center"/>
    </xf>
    <xf numFmtId="165" fontId="6" fillId="0" borderId="5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2" activePane="bottomRight" state="frozen"/>
      <selection pane="topRight" activeCell="H1" sqref="H1"/>
      <selection pane="bottomLeft" activeCell="A4" sqref="A4"/>
      <selection pane="bottomRight" activeCell="S16" sqref="S16"/>
    </sheetView>
  </sheetViews>
  <sheetFormatPr defaultRowHeight="15"/>
  <cols>
    <col min="1" max="1" width="13.85546875" style="1" customWidth="1"/>
    <col min="2" max="2" width="39.140625" customWidth="1"/>
    <col min="3" max="3" width="38.5703125" bestFit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80" t="s">
        <v>120</v>
      </c>
      <c r="B1" s="79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121</v>
      </c>
      <c r="J1" s="6" t="s">
        <v>7</v>
      </c>
      <c r="K1" s="74" t="s">
        <v>122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7" t="s">
        <v>15</v>
      </c>
      <c r="D2" s="77" t="s">
        <v>16</v>
      </c>
      <c r="E2" s="77">
        <v>5</v>
      </c>
      <c r="F2" s="77">
        <v>25</v>
      </c>
      <c r="G2" s="77">
        <f t="shared" ref="G2:G7" si="0">F2*42</f>
        <v>1050</v>
      </c>
      <c r="H2" s="77">
        <v>42</v>
      </c>
      <c r="I2" s="7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7" t="s">
        <v>15</v>
      </c>
      <c r="D3" s="77" t="s">
        <v>16</v>
      </c>
      <c r="E3" s="77">
        <v>5</v>
      </c>
      <c r="F3" s="77">
        <v>25</v>
      </c>
      <c r="G3" s="77">
        <f t="shared" si="0"/>
        <v>1050</v>
      </c>
      <c r="H3" s="77">
        <v>43</v>
      </c>
      <c r="I3" s="7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7" t="s">
        <v>15</v>
      </c>
      <c r="D5" s="77" t="s">
        <v>22</v>
      </c>
      <c r="E5" s="77">
        <v>5</v>
      </c>
      <c r="F5" s="77">
        <v>25</v>
      </c>
      <c r="G5" s="77">
        <f t="shared" si="0"/>
        <v>1050</v>
      </c>
      <c r="H5" s="77">
        <v>42</v>
      </c>
      <c r="I5" s="7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7" t="s">
        <v>15</v>
      </c>
      <c r="D6" s="77" t="s">
        <v>22</v>
      </c>
      <c r="E6" s="77">
        <v>5</v>
      </c>
      <c r="F6" s="77">
        <v>25</v>
      </c>
      <c r="G6" s="77">
        <f t="shared" si="0"/>
        <v>1050</v>
      </c>
      <c r="H6" s="77">
        <v>42</v>
      </c>
      <c r="I6" s="7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1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7" t="s">
        <v>34</v>
      </c>
      <c r="J8" s="9">
        <f>N8/F8</f>
        <v>5.2</v>
      </c>
      <c r="K8" s="7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2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113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7" t="s">
        <v>34</v>
      </c>
      <c r="L10" s="46"/>
      <c r="M10" s="96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114</v>
      </c>
      <c r="C11" s="104" t="s">
        <v>28</v>
      </c>
      <c r="D11" s="105" t="s">
        <v>33</v>
      </c>
      <c r="E11" s="105" t="s">
        <v>34</v>
      </c>
      <c r="F11" s="106">
        <v>20</v>
      </c>
      <c r="G11" s="107">
        <f>F11*42</f>
        <v>840</v>
      </c>
      <c r="H11" s="106">
        <v>42</v>
      </c>
      <c r="I11" s="106">
        <v>3.18</v>
      </c>
      <c r="J11" s="109">
        <v>4.875</v>
      </c>
      <c r="K11" s="75">
        <f t="shared" si="1"/>
        <v>0.53301886792452824</v>
      </c>
      <c r="L11" s="46"/>
      <c r="M11" s="96"/>
      <c r="N11" s="108">
        <v>97.5</v>
      </c>
      <c r="O11" s="108"/>
      <c r="P11" s="28" t="s">
        <v>32</v>
      </c>
      <c r="R11" s="29"/>
    </row>
    <row r="12" spans="1:18" ht="15.75" customHeight="1">
      <c r="A12" s="77" t="s">
        <v>30</v>
      </c>
      <c r="B12" s="77" t="s">
        <v>115</v>
      </c>
      <c r="C12" s="85" t="s">
        <v>28</v>
      </c>
      <c r="D12" s="77" t="s">
        <v>35</v>
      </c>
      <c r="E12" s="77" t="s">
        <v>34</v>
      </c>
      <c r="F12" s="77">
        <v>20</v>
      </c>
      <c r="G12" s="77">
        <f t="shared" si="2"/>
        <v>840</v>
      </c>
      <c r="H12" s="10">
        <v>42</v>
      </c>
      <c r="I12" s="77">
        <v>2.87</v>
      </c>
      <c r="J12" s="83">
        <f>N12/F12</f>
        <v>4.5999999999999996</v>
      </c>
      <c r="K12" s="75">
        <f t="shared" si="1"/>
        <v>0.60278745644599274</v>
      </c>
      <c r="L12" s="32"/>
      <c r="M12" s="97"/>
      <c r="N12" s="83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115</v>
      </c>
      <c r="C13" s="85" t="s">
        <v>28</v>
      </c>
      <c r="D13" s="77" t="s">
        <v>35</v>
      </c>
      <c r="E13" s="77" t="s">
        <v>34</v>
      </c>
      <c r="F13" s="77">
        <v>20</v>
      </c>
      <c r="G13" s="77">
        <f t="shared" ref="G13" si="3">F13*42</f>
        <v>840</v>
      </c>
      <c r="H13" s="13">
        <v>42</v>
      </c>
      <c r="I13" s="77">
        <v>2.87</v>
      </c>
      <c r="J13" s="83">
        <f>N13/F13</f>
        <v>0</v>
      </c>
      <c r="K13" s="75">
        <f>J12/I12-1</f>
        <v>0.60278745644599274</v>
      </c>
      <c r="L13" s="35"/>
      <c r="M13" s="98"/>
      <c r="N13" s="84"/>
      <c r="O13" s="35"/>
      <c r="P13" s="28" t="s">
        <v>32</v>
      </c>
    </row>
    <row r="14" spans="1:18" ht="15.75" customHeight="1">
      <c r="A14" s="77" t="s">
        <v>30</v>
      </c>
      <c r="B14" s="77" t="s">
        <v>116</v>
      </c>
      <c r="C14" s="10" t="s">
        <v>28</v>
      </c>
      <c r="D14" s="77" t="s">
        <v>37</v>
      </c>
      <c r="E14" s="77" t="s">
        <v>34</v>
      </c>
      <c r="F14" s="77">
        <v>20</v>
      </c>
      <c r="G14" s="77">
        <f t="shared" si="2"/>
        <v>840</v>
      </c>
      <c r="H14" s="77">
        <v>42</v>
      </c>
      <c r="I14" s="77">
        <v>2.87</v>
      </c>
      <c r="J14" s="9">
        <f>N14/F14</f>
        <v>4.5</v>
      </c>
      <c r="K14" s="75">
        <f t="shared" si="1"/>
        <v>0.56794425087108014</v>
      </c>
      <c r="L14" s="11"/>
      <c r="M14" s="99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116</v>
      </c>
      <c r="C15" s="10" t="s">
        <v>28</v>
      </c>
      <c r="D15" s="77" t="s">
        <v>37</v>
      </c>
      <c r="E15" s="77" t="s">
        <v>34</v>
      </c>
      <c r="F15" s="77">
        <v>20</v>
      </c>
      <c r="G15" s="77">
        <f t="shared" ref="G15" si="4">F15*42</f>
        <v>840</v>
      </c>
      <c r="H15" s="77">
        <v>42</v>
      </c>
      <c r="I15" s="77">
        <v>2.87</v>
      </c>
      <c r="J15" s="9">
        <f>N15/F14</f>
        <v>5.4</v>
      </c>
      <c r="K15" s="75">
        <f>J15/I14-1</f>
        <v>0.88153310104529625</v>
      </c>
      <c r="L15" s="11"/>
      <c r="M15" s="99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117</v>
      </c>
      <c r="C16" s="85" t="s">
        <v>39</v>
      </c>
      <c r="D16" s="77" t="s">
        <v>40</v>
      </c>
      <c r="E16" s="77" t="s">
        <v>34</v>
      </c>
      <c r="F16" s="77">
        <v>15</v>
      </c>
      <c r="G16" s="77">
        <f>F16*42</f>
        <v>630</v>
      </c>
      <c r="H16" s="10">
        <v>42</v>
      </c>
      <c r="I16" s="77">
        <v>3.1</v>
      </c>
      <c r="J16" s="9">
        <f>N16/F16</f>
        <v>5.3</v>
      </c>
      <c r="K16" s="75">
        <f t="shared" si="1"/>
        <v>0.70967741935483852</v>
      </c>
      <c r="L16" s="11"/>
      <c r="M16" s="99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117</v>
      </c>
      <c r="C17" s="85" t="s">
        <v>39</v>
      </c>
      <c r="D17" s="77" t="s">
        <v>40</v>
      </c>
      <c r="E17" s="77" t="s">
        <v>34</v>
      </c>
      <c r="F17" s="77">
        <v>15</v>
      </c>
      <c r="G17" s="77">
        <f t="shared" ref="G17:G18" si="5">F17*42</f>
        <v>630</v>
      </c>
      <c r="H17" s="77">
        <v>42</v>
      </c>
      <c r="I17" s="77">
        <v>4.0999999999999996</v>
      </c>
      <c r="J17" s="83">
        <f>N17/F16</f>
        <v>4.6500000000000004</v>
      </c>
      <c r="K17" s="75">
        <f>J17/I16-1</f>
        <v>0.5</v>
      </c>
      <c r="L17" s="100"/>
      <c r="M17" s="101"/>
      <c r="N17" s="83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117</v>
      </c>
      <c r="C18" s="85" t="s">
        <v>39</v>
      </c>
      <c r="D18" s="77" t="s">
        <v>40</v>
      </c>
      <c r="E18" s="77" t="s">
        <v>34</v>
      </c>
      <c r="F18" s="77">
        <v>15</v>
      </c>
      <c r="G18" s="77">
        <f t="shared" si="5"/>
        <v>630</v>
      </c>
      <c r="H18" s="77">
        <v>43</v>
      </c>
      <c r="I18" s="77">
        <v>5.0999999999999996</v>
      </c>
      <c r="J18" s="83">
        <f>N18/F17</f>
        <v>4.7166666666666668</v>
      </c>
      <c r="K18" s="75">
        <f>J17/I16-1</f>
        <v>0.5</v>
      </c>
      <c r="L18" s="102"/>
      <c r="M18" s="103"/>
      <c r="N18" s="83">
        <v>70.75</v>
      </c>
      <c r="O18" s="11"/>
      <c r="P18" s="28" t="s">
        <v>32</v>
      </c>
    </row>
    <row r="19" spans="1:18" ht="15.75" customHeight="1">
      <c r="A19" s="77" t="s">
        <v>30</v>
      </c>
      <c r="B19" s="77" t="s">
        <v>117</v>
      </c>
      <c r="C19" s="85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7">
        <v>6.1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2" t="s">
        <v>118</v>
      </c>
      <c r="C20" s="85" t="s">
        <v>39</v>
      </c>
      <c r="D20" s="77" t="s">
        <v>42</v>
      </c>
      <c r="E20" s="77" t="s">
        <v>34</v>
      </c>
      <c r="F20" s="77">
        <v>20</v>
      </c>
      <c r="G20" s="77">
        <f>F20*42</f>
        <v>840</v>
      </c>
      <c r="H20" s="10">
        <v>42</v>
      </c>
      <c r="I20" s="7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2" t="s">
        <v>118</v>
      </c>
      <c r="C21" s="85" t="s">
        <v>39</v>
      </c>
      <c r="D21" s="77" t="s">
        <v>42</v>
      </c>
      <c r="E21" s="77" t="s">
        <v>34</v>
      </c>
      <c r="F21" s="77">
        <v>20</v>
      </c>
      <c r="G21" s="77">
        <f t="shared" ref="G21:G23" si="6">F21*42</f>
        <v>840</v>
      </c>
      <c r="H21" s="10">
        <v>42</v>
      </c>
      <c r="I21" s="77">
        <v>4.92</v>
      </c>
      <c r="J21" s="83">
        <f>N21/F$20</f>
        <v>5.6</v>
      </c>
      <c r="K21" s="75">
        <f>J21/I20-1</f>
        <v>0.4285714285714286</v>
      </c>
      <c r="L21" s="31"/>
      <c r="M21" s="7"/>
      <c r="N21" s="83">
        <v>112</v>
      </c>
      <c r="O21" s="11"/>
      <c r="P21" s="39" t="s">
        <v>36</v>
      </c>
    </row>
    <row r="22" spans="1:18" ht="15.75" customHeight="1">
      <c r="A22" s="77" t="s">
        <v>30</v>
      </c>
      <c r="B22" s="82" t="s">
        <v>118</v>
      </c>
      <c r="C22" s="85" t="s">
        <v>39</v>
      </c>
      <c r="D22" s="77" t="s">
        <v>42</v>
      </c>
      <c r="E22" s="77" t="s">
        <v>34</v>
      </c>
      <c r="F22" s="77">
        <v>20</v>
      </c>
      <c r="G22" s="77">
        <f t="shared" si="6"/>
        <v>840</v>
      </c>
      <c r="H22" s="78">
        <v>42</v>
      </c>
      <c r="I22" s="77">
        <v>5.92</v>
      </c>
      <c r="J22" s="83">
        <f>N22/F$20</f>
        <v>0</v>
      </c>
      <c r="K22" s="75">
        <f>J21/I20-1</f>
        <v>0.4285714285714286</v>
      </c>
      <c r="L22" s="34"/>
      <c r="M22" s="14"/>
      <c r="N22" s="84"/>
      <c r="O22" s="11"/>
      <c r="P22" s="28" t="s">
        <v>32</v>
      </c>
    </row>
    <row r="23" spans="1:18" ht="15.75" customHeight="1">
      <c r="A23" s="77" t="s">
        <v>30</v>
      </c>
      <c r="B23" s="82" t="s">
        <v>118</v>
      </c>
      <c r="C23" s="85" t="s">
        <v>39</v>
      </c>
      <c r="D23" s="77" t="s">
        <v>42</v>
      </c>
      <c r="E23" s="77" t="s">
        <v>34</v>
      </c>
      <c r="F23" s="77">
        <v>20</v>
      </c>
      <c r="G23" s="77">
        <f t="shared" si="6"/>
        <v>840</v>
      </c>
      <c r="H23" s="78">
        <v>43</v>
      </c>
      <c r="I23" s="77">
        <v>6.92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2" t="s">
        <v>118</v>
      </c>
      <c r="C24" s="85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1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7" t="s">
        <v>39</v>
      </c>
      <c r="D26" s="77" t="s">
        <v>48</v>
      </c>
      <c r="E26" s="77" t="s">
        <v>34</v>
      </c>
      <c r="F26" s="77">
        <v>20</v>
      </c>
      <c r="G26" s="77">
        <f>F26*42</f>
        <v>840</v>
      </c>
      <c r="H26" s="10">
        <v>42</v>
      </c>
      <c r="I26" s="7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7" t="s">
        <v>39</v>
      </c>
      <c r="D27" s="77" t="s">
        <v>48</v>
      </c>
      <c r="E27" s="77" t="s">
        <v>34</v>
      </c>
      <c r="F27" s="77">
        <v>20</v>
      </c>
      <c r="G27" s="77">
        <f t="shared" ref="G27:G29" si="7">F27*42</f>
        <v>840</v>
      </c>
      <c r="H27" s="10">
        <v>42</v>
      </c>
      <c r="I27" s="7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7" t="s">
        <v>39</v>
      </c>
      <c r="D28" s="77" t="s">
        <v>48</v>
      </c>
      <c r="E28" s="77" t="s">
        <v>34</v>
      </c>
      <c r="F28" s="77">
        <v>20</v>
      </c>
      <c r="G28" s="77">
        <f t="shared" si="7"/>
        <v>840</v>
      </c>
      <c r="H28" s="10">
        <v>42</v>
      </c>
      <c r="I28" s="7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7" t="s">
        <v>39</v>
      </c>
      <c r="D29" s="77" t="s">
        <v>48</v>
      </c>
      <c r="E29" s="77" t="s">
        <v>34</v>
      </c>
      <c r="F29" s="77">
        <v>20</v>
      </c>
      <c r="G29" s="77">
        <f t="shared" si="7"/>
        <v>840</v>
      </c>
      <c r="H29" s="10">
        <v>42</v>
      </c>
      <c r="I29" s="7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90" t="s">
        <v>49</v>
      </c>
      <c r="C30" s="85" t="s">
        <v>39</v>
      </c>
      <c r="D30" s="77" t="s">
        <v>50</v>
      </c>
      <c r="E30" s="77" t="s">
        <v>34</v>
      </c>
      <c r="F30" s="77">
        <v>20</v>
      </c>
      <c r="G30" s="77">
        <f>F30*42</f>
        <v>840</v>
      </c>
      <c r="H30" s="14">
        <v>42</v>
      </c>
      <c r="I30" s="7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90" t="s">
        <v>49</v>
      </c>
      <c r="C31" s="85" t="s">
        <v>39</v>
      </c>
      <c r="D31" s="77" t="s">
        <v>50</v>
      </c>
      <c r="E31" s="77" t="s">
        <v>34</v>
      </c>
      <c r="F31" s="77">
        <v>20</v>
      </c>
      <c r="G31" s="77">
        <f t="shared" ref="G31:G32" si="8">F31*42</f>
        <v>840</v>
      </c>
      <c r="H31" s="14">
        <v>42</v>
      </c>
      <c r="I31" s="7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90" t="s">
        <v>49</v>
      </c>
      <c r="C32" s="85" t="s">
        <v>39</v>
      </c>
      <c r="D32" s="77" t="s">
        <v>50</v>
      </c>
      <c r="E32" s="77" t="s">
        <v>34</v>
      </c>
      <c r="F32" s="77">
        <v>20</v>
      </c>
      <c r="G32" s="77">
        <f t="shared" si="8"/>
        <v>840</v>
      </c>
      <c r="H32" s="14">
        <v>42</v>
      </c>
      <c r="I32" s="7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90" t="s">
        <v>51</v>
      </c>
      <c r="C33" s="85" t="s">
        <v>39</v>
      </c>
      <c r="D33" s="77" t="s">
        <v>52</v>
      </c>
      <c r="E33" s="77" t="s">
        <v>34</v>
      </c>
      <c r="F33" s="77">
        <v>20</v>
      </c>
      <c r="G33" s="77">
        <f>F33*42</f>
        <v>840</v>
      </c>
      <c r="H33" s="14">
        <v>42</v>
      </c>
      <c r="I33" s="7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90" t="s">
        <v>51</v>
      </c>
      <c r="C34" s="85" t="s">
        <v>39</v>
      </c>
      <c r="D34" s="77" t="s">
        <v>52</v>
      </c>
      <c r="E34" s="77" t="s">
        <v>34</v>
      </c>
      <c r="F34" s="77">
        <v>20</v>
      </c>
      <c r="G34" s="77">
        <f t="shared" ref="G34:G35" si="9">F34*42</f>
        <v>840</v>
      </c>
      <c r="H34" s="14">
        <v>42</v>
      </c>
      <c r="I34" s="7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90" t="s">
        <v>51</v>
      </c>
      <c r="C35" s="85" t="s">
        <v>39</v>
      </c>
      <c r="D35" s="77" t="s">
        <v>52</v>
      </c>
      <c r="E35" s="77" t="s">
        <v>34</v>
      </c>
      <c r="F35" s="77">
        <v>20</v>
      </c>
      <c r="G35" s="77">
        <f t="shared" si="9"/>
        <v>840</v>
      </c>
      <c r="H35" s="14">
        <v>42</v>
      </c>
      <c r="I35" s="7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2" t="s">
        <v>53</v>
      </c>
      <c r="B36" s="87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f>N36/F36</f>
        <v>5.9</v>
      </c>
      <c r="K36" s="75">
        <f t="shared" si="1"/>
        <v>0.19918699186991873</v>
      </c>
      <c r="L36" s="9">
        <f>N36/8</f>
        <v>29.5</v>
      </c>
      <c r="M36" s="10"/>
      <c r="N36" s="9">
        <v>236</v>
      </c>
      <c r="O36" s="11"/>
      <c r="P36" s="41" t="s">
        <v>56</v>
      </c>
    </row>
    <row r="37" spans="1:16" ht="15.75" customHeight="1">
      <c r="A37" s="82"/>
      <c r="B37" s="87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f>N37/F37</f>
        <v>5.9</v>
      </c>
      <c r="K37" s="75">
        <f t="shared" si="1"/>
        <v>0.24735729386892169</v>
      </c>
      <c r="L37" s="9">
        <f>N37/8</f>
        <v>29.5</v>
      </c>
      <c r="M37" s="10"/>
      <c r="N37" s="9">
        <v>236</v>
      </c>
      <c r="O37" s="11"/>
      <c r="P37" s="41" t="s">
        <v>56</v>
      </c>
    </row>
    <row r="38" spans="1:16" s="45" customFormat="1" ht="15.75" customHeight="1">
      <c r="A38" s="77" t="s">
        <v>59</v>
      </c>
      <c r="B38" s="88" t="s">
        <v>60</v>
      </c>
      <c r="C38" s="77" t="s">
        <v>28</v>
      </c>
      <c r="D38" s="92" t="s">
        <v>61</v>
      </c>
      <c r="E38" s="77" t="s">
        <v>34</v>
      </c>
      <c r="F38" s="77">
        <v>30</v>
      </c>
      <c r="G38" s="77">
        <f>F38*42</f>
        <v>1260</v>
      </c>
      <c r="H38" s="10">
        <v>42</v>
      </c>
      <c r="I38" s="7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8" t="s">
        <v>60</v>
      </c>
      <c r="C39" s="77" t="s">
        <v>28</v>
      </c>
      <c r="D39" s="92" t="s">
        <v>61</v>
      </c>
      <c r="E39" s="77" t="s">
        <v>34</v>
      </c>
      <c r="F39" s="77">
        <v>30</v>
      </c>
      <c r="G39" s="77">
        <f>F39*42</f>
        <v>1260</v>
      </c>
      <c r="H39" s="10">
        <v>42</v>
      </c>
      <c r="I39" s="7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8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93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7" t="s">
        <v>34</v>
      </c>
      <c r="J41" s="51">
        <v>5.15</v>
      </c>
      <c r="K41" s="7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89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7" t="s">
        <v>34</v>
      </c>
      <c r="J42" s="57"/>
      <c r="K42" s="7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1" t="s">
        <v>71</v>
      </c>
      <c r="C43" s="85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74</v>
      </c>
    </row>
    <row r="44" spans="1:16" ht="31.5">
      <c r="A44" s="77" t="s">
        <v>70</v>
      </c>
      <c r="B44" s="81" t="s">
        <v>75</v>
      </c>
      <c r="C44" s="85" t="s">
        <v>72</v>
      </c>
      <c r="D44" s="16" t="s">
        <v>76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123</v>
      </c>
    </row>
    <row r="45" spans="1:16" s="45" customFormat="1" ht="18" customHeight="1">
      <c r="A45" s="7" t="s">
        <v>77</v>
      </c>
      <c r="B45" s="91" t="s">
        <v>78</v>
      </c>
      <c r="C45" s="30" t="s">
        <v>15</v>
      </c>
      <c r="D45" s="17" t="s">
        <v>79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77</v>
      </c>
      <c r="B46" s="91" t="s">
        <v>80</v>
      </c>
      <c r="C46" s="30" t="s">
        <v>15</v>
      </c>
      <c r="D46" s="17" t="s">
        <v>81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82</v>
      </c>
      <c r="B47" s="91" t="s">
        <v>83</v>
      </c>
      <c r="C47" s="30" t="s">
        <v>15</v>
      </c>
      <c r="D47" s="17" t="s">
        <v>84</v>
      </c>
      <c r="E47" s="66"/>
      <c r="F47" s="67"/>
      <c r="G47" s="67"/>
      <c r="H47" s="67"/>
      <c r="I47" s="67"/>
      <c r="J47" s="68"/>
      <c r="K47" s="7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85</v>
      </c>
      <c r="B48" s="94" t="s">
        <v>86</v>
      </c>
      <c r="C48" s="77" t="s">
        <v>87</v>
      </c>
      <c r="D48" s="70" t="s">
        <v>88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89</v>
      </c>
    </row>
    <row r="49" spans="1:16" s="64" customFormat="1" ht="21" customHeight="1">
      <c r="A49" s="77" t="s">
        <v>85</v>
      </c>
      <c r="B49" s="94" t="s">
        <v>90</v>
      </c>
      <c r="C49" s="77" t="s">
        <v>87</v>
      </c>
      <c r="D49" s="70" t="s">
        <v>91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89</v>
      </c>
    </row>
    <row r="50" spans="1:16" s="64" customFormat="1" ht="21" customHeight="1">
      <c r="A50" s="77" t="s">
        <v>85</v>
      </c>
      <c r="B50" s="94" t="s">
        <v>92</v>
      </c>
      <c r="C50" s="77" t="s">
        <v>87</v>
      </c>
      <c r="D50" s="70" t="s">
        <v>93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89</v>
      </c>
    </row>
    <row r="51" spans="1:16" s="64" customFormat="1" ht="18" customHeight="1">
      <c r="A51" s="77" t="s">
        <v>85</v>
      </c>
      <c r="B51" s="94" t="s">
        <v>94</v>
      </c>
      <c r="C51" s="77" t="s">
        <v>87</v>
      </c>
      <c r="D51" s="70" t="s">
        <v>95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7" t="s">
        <v>34</v>
      </c>
      <c r="J51" s="9">
        <v>5.2</v>
      </c>
      <c r="K51" s="7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89</v>
      </c>
    </row>
    <row r="52" spans="1:16" s="64" customFormat="1" ht="22.5" customHeight="1">
      <c r="A52" s="77" t="s">
        <v>85</v>
      </c>
      <c r="B52" s="94" t="s">
        <v>96</v>
      </c>
      <c r="C52" s="77" t="s">
        <v>87</v>
      </c>
      <c r="D52" s="70" t="s">
        <v>97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2.95</v>
      </c>
      <c r="K52" s="75">
        <f t="shared" si="1"/>
        <v>7.2727272727272751E-2</v>
      </c>
      <c r="L52" s="9">
        <f t="shared" si="12"/>
        <v>14.75</v>
      </c>
      <c r="M52" s="10"/>
      <c r="N52" s="9">
        <f t="shared" si="13"/>
        <v>118</v>
      </c>
      <c r="O52" s="11"/>
      <c r="P52" s="71" t="s">
        <v>89</v>
      </c>
    </row>
    <row r="53" spans="1:16" s="64" customFormat="1" ht="20.25" customHeight="1">
      <c r="A53" s="77" t="s">
        <v>85</v>
      </c>
      <c r="B53" s="94" t="s">
        <v>98</v>
      </c>
      <c r="C53" s="77" t="s">
        <v>87</v>
      </c>
      <c r="D53" s="70" t="s">
        <v>99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3.25</v>
      </c>
      <c r="K53" s="75">
        <f t="shared" si="1"/>
        <v>0.20370370370370372</v>
      </c>
      <c r="L53" s="9">
        <f t="shared" si="12"/>
        <v>16.25</v>
      </c>
      <c r="M53" s="10"/>
      <c r="N53" s="9">
        <f t="shared" si="13"/>
        <v>130</v>
      </c>
      <c r="O53" s="11"/>
      <c r="P53" s="71" t="s">
        <v>89</v>
      </c>
    </row>
    <row r="54" spans="1:16" s="64" customFormat="1" ht="18" customHeight="1">
      <c r="A54" s="77" t="s">
        <v>85</v>
      </c>
      <c r="B54" s="94" t="s">
        <v>100</v>
      </c>
      <c r="C54" s="77" t="s">
        <v>87</v>
      </c>
      <c r="D54" s="70" t="s">
        <v>101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3.3</v>
      </c>
      <c r="K54" s="75">
        <f t="shared" si="1"/>
        <v>0.27906976744186029</v>
      </c>
      <c r="L54" s="9">
        <f t="shared" si="12"/>
        <v>16.5</v>
      </c>
      <c r="M54" s="10"/>
      <c r="N54" s="9">
        <f t="shared" si="13"/>
        <v>132</v>
      </c>
      <c r="O54" s="11"/>
      <c r="P54" s="71" t="s">
        <v>89</v>
      </c>
    </row>
    <row r="55" spans="1:16" s="64" customFormat="1" ht="19.5" customHeight="1">
      <c r="A55" s="77" t="s">
        <v>85</v>
      </c>
      <c r="B55" s="94" t="s">
        <v>102</v>
      </c>
      <c r="C55" s="85" t="s">
        <v>119</v>
      </c>
      <c r="D55" s="70" t="s">
        <v>103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89</v>
      </c>
    </row>
    <row r="56" spans="1:16" s="64" customFormat="1" ht="19.5" customHeight="1">
      <c r="A56" s="77" t="s">
        <v>85</v>
      </c>
      <c r="B56" s="94" t="s">
        <v>104</v>
      </c>
      <c r="C56" s="85" t="s">
        <v>119</v>
      </c>
      <c r="D56" s="70" t="s">
        <v>105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89</v>
      </c>
    </row>
    <row r="57" spans="1:16" s="64" customFormat="1" ht="19.5" customHeight="1">
      <c r="A57" s="77" t="s">
        <v>85</v>
      </c>
      <c r="B57" s="95" t="s">
        <v>106</v>
      </c>
      <c r="C57" s="85" t="s">
        <v>119</v>
      </c>
      <c r="D57" s="70" t="s">
        <v>107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7" t="s">
        <v>34</v>
      </c>
      <c r="J57" s="9">
        <f>N57/40</f>
        <v>7.5</v>
      </c>
      <c r="K57" s="7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6.25" customHeight="1">
      <c r="A58" s="77" t="s">
        <v>85</v>
      </c>
      <c r="B58" s="94" t="s">
        <v>108</v>
      </c>
      <c r="C58" s="85" t="s">
        <v>109</v>
      </c>
      <c r="D58" s="70" t="s">
        <v>110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89</v>
      </c>
    </row>
    <row r="59" spans="1:16" s="64" customFormat="1" ht="19.5" customHeight="1">
      <c r="A59" s="77" t="s">
        <v>85</v>
      </c>
      <c r="B59" s="94" t="s">
        <v>111</v>
      </c>
      <c r="C59" s="86"/>
      <c r="D59" s="70" t="s">
        <v>112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7" t="s">
        <v>34</v>
      </c>
      <c r="J59" s="9">
        <v>4</v>
      </c>
      <c r="K59" s="7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89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2026-07-15T19:52:51Z</cp:lastPrinted>
  <dcterms:created xsi:type="dcterms:W3CDTF">2026-07-15T19:32:34Z</dcterms:created>
  <dcterms:modified xsi:type="dcterms:W3CDTF">2026-07-23T13:22:02Z</dcterms:modified>
</cp:coreProperties>
</file>