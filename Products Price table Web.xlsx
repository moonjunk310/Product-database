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EF1EB26E-2B26-4937-9484-40CB46C73899}" xr6:coauthVersionLast="47" xr6:coauthVersionMax="47" xr10:uidLastSave="{00000000-0000-0000-0000-000000000000}"/>
  <bookViews>
    <workbookView xWindow="2868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7.14.26'!$A$1:$P$59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9" i="1" l="1"/>
  <c r="G34" i="1"/>
  <c r="G35" i="1"/>
  <c r="G31" i="1"/>
  <c r="G32" i="1"/>
  <c r="G27" i="1"/>
  <c r="G28" i="1"/>
  <c r="G29" i="1"/>
  <c r="J22" i="1"/>
  <c r="G21" i="1"/>
  <c r="G22" i="1"/>
  <c r="G23" i="1"/>
  <c r="G15" i="1"/>
  <c r="J13" i="1"/>
  <c r="G13" i="1"/>
  <c r="G6" i="1"/>
  <c r="G3" i="1"/>
  <c r="J18" i="1"/>
  <c r="G18" i="1"/>
  <c r="G17" i="1"/>
  <c r="K25" i="1"/>
  <c r="J23" i="1"/>
  <c r="K23" i="1" s="1"/>
  <c r="K58" i="1"/>
  <c r="K56" i="1"/>
  <c r="K55" i="1"/>
  <c r="K54" i="1"/>
  <c r="K53" i="1"/>
  <c r="K52" i="1"/>
  <c r="K50" i="1"/>
  <c r="K49" i="1"/>
  <c r="K48" i="1"/>
  <c r="K9" i="1"/>
  <c r="N59" i="1"/>
  <c r="L59" i="1" s="1"/>
  <c r="G59" i="1"/>
  <c r="N58" i="1"/>
  <c r="L58" i="1" s="1"/>
  <c r="G58" i="1"/>
  <c r="L57" i="1"/>
  <c r="J57" i="1"/>
  <c r="G57" i="1"/>
  <c r="N56" i="1"/>
  <c r="L56" i="1" s="1"/>
  <c r="G56" i="1"/>
  <c r="N55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N48" i="1"/>
  <c r="L48" i="1" s="1"/>
  <c r="G48" i="1"/>
  <c r="L46" i="1"/>
  <c r="J46" i="1"/>
  <c r="K46" i="1" s="1"/>
  <c r="G46" i="1"/>
  <c r="L45" i="1"/>
  <c r="F45" i="1"/>
  <c r="L44" i="1"/>
  <c r="F44" i="1"/>
  <c r="L43" i="1"/>
  <c r="J43" i="1"/>
  <c r="K43" i="1" s="1"/>
  <c r="G43" i="1"/>
  <c r="G42" i="1"/>
  <c r="G41" i="1"/>
  <c r="O40" i="1"/>
  <c r="L40" i="1"/>
  <c r="F40" i="1"/>
  <c r="J39" i="1"/>
  <c r="K39" i="1" s="1"/>
  <c r="J38" i="1"/>
  <c r="K38" i="1" s="1"/>
  <c r="G38" i="1"/>
  <c r="L37" i="1"/>
  <c r="J37" i="1"/>
  <c r="K37" i="1" s="1"/>
  <c r="G37" i="1"/>
  <c r="L36" i="1"/>
  <c r="J36" i="1"/>
  <c r="K36" i="1" s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1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5" i="1"/>
  <c r="K45" i="1" s="1"/>
  <c r="G45" i="1"/>
  <c r="J44" i="1"/>
  <c r="K44" i="1" s="1"/>
  <c r="G44" i="1"/>
  <c r="G40" i="1"/>
  <c r="J40" i="1"/>
  <c r="K40" i="1" s="1"/>
</calcChain>
</file>

<file path=xl/sharedStrings.xml><?xml version="1.0" encoding="utf-8"?>
<sst xmlns="http://schemas.openxmlformats.org/spreadsheetml/2006/main" count="344" uniqueCount="124">
  <si>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</si>
  <si>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</si>
  <si>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</si>
  <si>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</si>
  <si>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</si>
  <si>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</si>
  <si>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</si>
  <si>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</si>
  <si>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</si>
  <si>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</si>
  <si>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</si>
  <si>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</si>
  <si>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</si>
  <si>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</si>
  <si>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</si>
  <si>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</si>
  <si>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</si>
  <si>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</si>
  <si>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</si>
  <si>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</si>
  <si>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</si>
  <si>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</si>
  <si>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</si>
  <si>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</si>
  <si>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</si>
  <si>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</si>
  <si>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</si>
  <si>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</si>
  <si>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</si>
  <si>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</si>
  <si>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</si>
  <si>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</si>
  <si>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</si>
  <si>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</si>
  <si>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</si>
  <si>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</si>
  <si>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</si>
  <si>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</si>
  <si>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</si>
  <si>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</si>
  <si>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</si>
  <si>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</si>
  <si>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</si>
  <si>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</si>
  <si>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</si>
  <si>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</si>
  <si>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</si>
  <si>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</si>
  <si>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</si>
  <si>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</si>
  <si>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</si>
  <si>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</si>
  <si>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</si>
  <si>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</si>
  <si>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</si>
  <si>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</si>
  <si>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</si>
  <si>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</si>
  <si>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</si>
  <si>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</si>
  <si>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</si>
  <si>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</si>
  <si>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</si>
  <si>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</si>
  <si>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</si>
  <si>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</si>
  <si>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</si>
  <si>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</si>
  <si>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</si>
  <si>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</si>
  <si>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</si>
  <si>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</si>
  <si>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</si>
  <si>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</si>
  <si>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1:30 ratio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</si>
  <si>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</si>
  <si>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</si>
  <si>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</si>
  <si>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</si>
  <si>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</si>
  <si>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</si>
  <si>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</si>
  <si>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</si>
  <si>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</si>
  <si>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</si>
  <si>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</si>
  <si>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</si>
  <si>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</si>
  <si>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</si>
  <si>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</si>
  <si>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</si>
  <si>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</si>
  <si>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</si>
  <si>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</si>
  <si>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</si>
  <si>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</si>
  <si>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</si>
  <si>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</si>
  <si>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</si>
  <si>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</si>
  <si>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</si>
  <si>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</si>
  <si>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</si>
  <si>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</si>
  <si>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</si>
  <si>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</si>
  <si>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</si>
  <si>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</si>
  <si>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</si>
  <si>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</si>
  <si>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</si>
  <si>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</si>
  <si>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</si>
  <si>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</si>
  <si>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</si>
  <si>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</si>
  <si>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</si>
  <si>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</si>
  <si>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</si>
  <si>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</si>
  <si>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</si>
  <si>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</si>
  <si>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</si>
  <si>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1:15 ratio; Wooltari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</si>
</sst>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64" fontId="5" fillId="0" borderId="9" xfId="0" applyNumberFormat="1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0" borderId="5" xfId="0" applyFont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59"/>
  <sheetViews>
    <sheetView tabSelected="1" view="pageBreakPreview" zoomScale="85" zoomScaleNormal="85" zoomScaleSheetLayoutView="85" workbookViewId="0">
      <pane xSplit="4" ySplit="1" topLeftCell="E10" activePane="bottomRight" state="frozen"/>
      <selection pane="topRight" activeCell="H1" sqref="H1"/>
      <selection pane="bottomLeft" activeCell="A4" sqref="A4"/>
      <selection pane="bottomRight" activeCell="C44" sqref="C44"/>
    </sheetView>
  </sheetViews>
  <sheetFormatPr defaultRowHeight="15"/>
  <cols>
    <col min="1" max="1" width="13.85546875" style="1" customWidth="1"/>
    <col min="2" max="2" width="39.140625" customWidth="1"/>
    <col min="3" max="3" width="38.5703125" bestFit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81" t="s">
        <v>120</v>
      </c>
      <c r="B1" s="80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3" t="s">
        <v>121</v>
      </c>
      <c r="J1" s="6" t="s">
        <v>7</v>
      </c>
      <c r="K1" s="74" t="s">
        <v>122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7" t="s">
        <v>13</v>
      </c>
      <c r="B2" s="76" t="s">
        <v>14</v>
      </c>
      <c r="C2" s="77" t="s">
        <v>15</v>
      </c>
      <c r="D2" s="77" t="s">
        <v>16</v>
      </c>
      <c r="E2" s="77">
        <v>5</v>
      </c>
      <c r="F2" s="77">
        <v>25</v>
      </c>
      <c r="G2" s="77">
        <f t="shared" ref="G2:G7" si="0">F2*42</f>
        <v>1050</v>
      </c>
      <c r="H2" s="77">
        <v>42</v>
      </c>
      <c r="I2" s="77">
        <v>2.95</v>
      </c>
      <c r="J2" s="9">
        <f>N2/F2</f>
        <v>8</v>
      </c>
      <c r="K2" s="75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7" t="s">
        <v>13</v>
      </c>
      <c r="B3" s="76" t="s">
        <v>14</v>
      </c>
      <c r="C3" s="77" t="s">
        <v>15</v>
      </c>
      <c r="D3" s="77" t="s">
        <v>16</v>
      </c>
      <c r="E3" s="77">
        <v>5</v>
      </c>
      <c r="F3" s="77">
        <v>25</v>
      </c>
      <c r="G3" s="77">
        <f t="shared" si="0"/>
        <v>1050</v>
      </c>
      <c r="H3" s="77">
        <v>43</v>
      </c>
      <c r="I3" s="77">
        <v>3.95</v>
      </c>
      <c r="J3" s="9">
        <f>N3/F2</f>
        <v>9.1999999999999993</v>
      </c>
      <c r="K3" s="75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7" t="s">
        <v>13</v>
      </c>
      <c r="B4" s="76" t="s">
        <v>14</v>
      </c>
      <c r="C4" s="7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7">
        <v>44</v>
      </c>
      <c r="I4" s="10">
        <v>3.03</v>
      </c>
      <c r="J4" s="9">
        <f>N4/F4</f>
        <v>3.9</v>
      </c>
      <c r="K4" s="75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7" t="s">
        <v>13</v>
      </c>
      <c r="B5" s="76" t="s">
        <v>21</v>
      </c>
      <c r="C5" s="77" t="s">
        <v>15</v>
      </c>
      <c r="D5" s="77" t="s">
        <v>22</v>
      </c>
      <c r="E5" s="77">
        <v>5</v>
      </c>
      <c r="F5" s="77">
        <v>25</v>
      </c>
      <c r="G5" s="77">
        <f t="shared" si="0"/>
        <v>1050</v>
      </c>
      <c r="H5" s="77">
        <v>42</v>
      </c>
      <c r="I5" s="77">
        <v>2.86</v>
      </c>
      <c r="J5" s="9">
        <f>N5/F5</f>
        <v>8</v>
      </c>
      <c r="K5" s="75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7" t="s">
        <v>13</v>
      </c>
      <c r="B6" s="76" t="s">
        <v>21</v>
      </c>
      <c r="C6" s="77" t="s">
        <v>15</v>
      </c>
      <c r="D6" s="77" t="s">
        <v>22</v>
      </c>
      <c r="E6" s="77">
        <v>5</v>
      </c>
      <c r="F6" s="77">
        <v>25</v>
      </c>
      <c r="G6" s="77">
        <f t="shared" si="0"/>
        <v>1050</v>
      </c>
      <c r="H6" s="77">
        <v>42</v>
      </c>
      <c r="I6" s="77">
        <v>2.86</v>
      </c>
      <c r="J6" s="9">
        <f>N6/F5</f>
        <v>9.1999999999999993</v>
      </c>
      <c r="K6" s="75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7" t="s">
        <v>13</v>
      </c>
      <c r="B7" s="76" t="s">
        <v>21</v>
      </c>
      <c r="C7" s="7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5">
        <f t="shared" ref="K7:K58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7" t="s">
        <v>13</v>
      </c>
      <c r="B8" s="82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7" t="s">
        <v>34</v>
      </c>
      <c r="J8" s="9">
        <f>N8/F8</f>
        <v>5.2</v>
      </c>
      <c r="K8" s="7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3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5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7" t="s">
        <v>30</v>
      </c>
      <c r="B10" s="77" t="s">
        <v>113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7" t="s">
        <v>34</v>
      </c>
      <c r="L10" s="27"/>
      <c r="M10" s="25"/>
      <c r="N10" s="27">
        <v>95.4</v>
      </c>
      <c r="O10" s="27"/>
      <c r="P10" s="28" t="s">
        <v>32</v>
      </c>
      <c r="R10" s="29"/>
    </row>
    <row r="11" spans="1:18" ht="15.75" customHeight="1">
      <c r="A11" s="77" t="s">
        <v>30</v>
      </c>
      <c r="B11" s="77" t="s">
        <v>114</v>
      </c>
      <c r="C11" s="23" t="s">
        <v>28</v>
      </c>
      <c r="D11" s="24" t="s">
        <v>33</v>
      </c>
      <c r="E11" s="24" t="s">
        <v>34</v>
      </c>
      <c r="F11" s="25">
        <v>20</v>
      </c>
      <c r="G11" s="26">
        <f>F11*42</f>
        <v>840</v>
      </c>
      <c r="H11" s="25">
        <v>42</v>
      </c>
      <c r="I11" s="25"/>
      <c r="J11" s="27">
        <v>4.875</v>
      </c>
      <c r="K11" s="77" t="s">
        <v>34</v>
      </c>
      <c r="L11" s="27"/>
      <c r="M11" s="25"/>
      <c r="N11" s="27">
        <v>97.5</v>
      </c>
      <c r="O11" s="27"/>
      <c r="P11" s="28" t="s">
        <v>32</v>
      </c>
      <c r="R11" s="29"/>
    </row>
    <row r="12" spans="1:18" ht="15.75" customHeight="1">
      <c r="A12" s="77" t="s">
        <v>30</v>
      </c>
      <c r="B12" s="77" t="s">
        <v>115</v>
      </c>
      <c r="C12" s="86" t="s">
        <v>28</v>
      </c>
      <c r="D12" s="77" t="s">
        <v>35</v>
      </c>
      <c r="E12" s="77" t="s">
        <v>34</v>
      </c>
      <c r="F12" s="77">
        <v>20</v>
      </c>
      <c r="G12" s="77">
        <f t="shared" si="2"/>
        <v>840</v>
      </c>
      <c r="H12" s="10">
        <v>42</v>
      </c>
      <c r="I12" s="77">
        <v>2.87</v>
      </c>
      <c r="J12" s="84">
        <f>N12/F12</f>
        <v>4.5999999999999996</v>
      </c>
      <c r="K12" s="75">
        <f t="shared" si="1"/>
        <v>0.60278745644599274</v>
      </c>
      <c r="L12" s="31"/>
      <c r="M12" s="7"/>
      <c r="N12" s="84">
        <v>92</v>
      </c>
      <c r="O12" s="32"/>
      <c r="P12" s="33" t="s">
        <v>36</v>
      </c>
    </row>
    <row r="13" spans="1:18" ht="15.75" customHeight="1">
      <c r="A13" s="77" t="s">
        <v>30</v>
      </c>
      <c r="B13" s="77" t="s">
        <v>115</v>
      </c>
      <c r="C13" s="86" t="s">
        <v>28</v>
      </c>
      <c r="D13" s="77" t="s">
        <v>35</v>
      </c>
      <c r="E13" s="77" t="s">
        <v>34</v>
      </c>
      <c r="F13" s="77">
        <v>20</v>
      </c>
      <c r="G13" s="77">
        <f t="shared" ref="G13" si="3">F13*42</f>
        <v>840</v>
      </c>
      <c r="H13" s="13">
        <v>42</v>
      </c>
      <c r="I13" s="77">
        <v>2.87</v>
      </c>
      <c r="J13" s="84">
        <f>N13/F13</f>
        <v>0</v>
      </c>
      <c r="K13" s="75">
        <f>J12/I12-1</f>
        <v>0.60278745644599274</v>
      </c>
      <c r="L13" s="34"/>
      <c r="M13" s="14"/>
      <c r="N13" s="85"/>
      <c r="O13" s="35"/>
      <c r="P13" s="28" t="s">
        <v>32</v>
      </c>
    </row>
    <row r="14" spans="1:18" ht="15.75" customHeight="1">
      <c r="A14" s="77" t="s">
        <v>30</v>
      </c>
      <c r="B14" s="77" t="s">
        <v>116</v>
      </c>
      <c r="C14" s="10" t="s">
        <v>28</v>
      </c>
      <c r="D14" s="77" t="s">
        <v>37</v>
      </c>
      <c r="E14" s="77" t="s">
        <v>34</v>
      </c>
      <c r="F14" s="77">
        <v>20</v>
      </c>
      <c r="G14" s="77">
        <f t="shared" si="2"/>
        <v>840</v>
      </c>
      <c r="H14" s="77">
        <v>42</v>
      </c>
      <c r="I14" s="77">
        <v>2.87</v>
      </c>
      <c r="J14" s="9">
        <f>N14/F14</f>
        <v>4.5</v>
      </c>
      <c r="K14" s="75">
        <f t="shared" si="1"/>
        <v>0.56794425087108014</v>
      </c>
      <c r="L14" s="9"/>
      <c r="M14" s="10"/>
      <c r="N14" s="9">
        <v>90</v>
      </c>
      <c r="O14" s="11"/>
      <c r="P14" s="36" t="s">
        <v>38</v>
      </c>
    </row>
    <row r="15" spans="1:18" ht="15.75" customHeight="1">
      <c r="A15" s="77" t="s">
        <v>30</v>
      </c>
      <c r="B15" s="77" t="s">
        <v>116</v>
      </c>
      <c r="C15" s="10" t="s">
        <v>28</v>
      </c>
      <c r="D15" s="77" t="s">
        <v>37</v>
      </c>
      <c r="E15" s="77" t="s">
        <v>34</v>
      </c>
      <c r="F15" s="77">
        <v>20</v>
      </c>
      <c r="G15" s="77">
        <f t="shared" ref="G15" si="4">F15*42</f>
        <v>840</v>
      </c>
      <c r="H15" s="77">
        <v>42</v>
      </c>
      <c r="I15" s="77">
        <v>2.87</v>
      </c>
      <c r="J15" s="9">
        <f>N15/F14</f>
        <v>5.4</v>
      </c>
      <c r="K15" s="75">
        <f>J15/I14-1</f>
        <v>0.88153310104529625</v>
      </c>
      <c r="L15" s="9"/>
      <c r="M15" s="10"/>
      <c r="N15" s="9">
        <v>108</v>
      </c>
      <c r="O15" s="11"/>
      <c r="P15" s="15" t="s">
        <v>18</v>
      </c>
    </row>
    <row r="16" spans="1:18" ht="15.75" customHeight="1">
      <c r="A16" s="77" t="s">
        <v>30</v>
      </c>
      <c r="B16" s="77" t="s">
        <v>117</v>
      </c>
      <c r="C16" s="86" t="s">
        <v>39</v>
      </c>
      <c r="D16" s="77" t="s">
        <v>40</v>
      </c>
      <c r="E16" s="77" t="s">
        <v>34</v>
      </c>
      <c r="F16" s="77">
        <v>15</v>
      </c>
      <c r="G16" s="77">
        <f>F16*42</f>
        <v>630</v>
      </c>
      <c r="H16" s="10">
        <v>42</v>
      </c>
      <c r="I16" s="77">
        <v>3.1</v>
      </c>
      <c r="J16" s="9">
        <f>N16/F16</f>
        <v>5.3</v>
      </c>
      <c r="K16" s="75">
        <f t="shared" si="1"/>
        <v>0.70967741935483852</v>
      </c>
      <c r="L16" s="9"/>
      <c r="M16" s="10"/>
      <c r="N16" s="9">
        <v>79.5</v>
      </c>
      <c r="O16" s="11"/>
      <c r="P16" s="33" t="s">
        <v>36</v>
      </c>
    </row>
    <row r="17" spans="1:18" ht="15.75" customHeight="1">
      <c r="A17" s="77" t="s">
        <v>30</v>
      </c>
      <c r="B17" s="77" t="s">
        <v>117</v>
      </c>
      <c r="C17" s="86" t="s">
        <v>39</v>
      </c>
      <c r="D17" s="77" t="s">
        <v>40</v>
      </c>
      <c r="E17" s="77" t="s">
        <v>34</v>
      </c>
      <c r="F17" s="77">
        <v>15</v>
      </c>
      <c r="G17" s="77">
        <f t="shared" ref="G17:G18" si="5">F17*42</f>
        <v>630</v>
      </c>
      <c r="H17" s="77">
        <v>42</v>
      </c>
      <c r="I17" s="77">
        <v>4.0999999999999996</v>
      </c>
      <c r="J17" s="84">
        <f>N17/F16</f>
        <v>4.6500000000000004</v>
      </c>
      <c r="K17" s="75">
        <f>J17/I16-1</f>
        <v>0.5</v>
      </c>
      <c r="L17" s="84"/>
      <c r="M17" s="77"/>
      <c r="N17" s="84">
        <v>69.75</v>
      </c>
      <c r="O17" s="11"/>
      <c r="P17" s="12" t="s">
        <v>17</v>
      </c>
    </row>
    <row r="18" spans="1:18" ht="15.75" customHeight="1">
      <c r="A18" s="77" t="s">
        <v>30</v>
      </c>
      <c r="B18" s="77" t="s">
        <v>117</v>
      </c>
      <c r="C18" s="86" t="s">
        <v>39</v>
      </c>
      <c r="D18" s="77" t="s">
        <v>40</v>
      </c>
      <c r="E18" s="77" t="s">
        <v>34</v>
      </c>
      <c r="F18" s="77">
        <v>15</v>
      </c>
      <c r="G18" s="77">
        <f t="shared" si="5"/>
        <v>630</v>
      </c>
      <c r="H18" s="77">
        <v>43</v>
      </c>
      <c r="I18" s="77">
        <v>5.0999999999999996</v>
      </c>
      <c r="J18" s="84">
        <f>N18/F17</f>
        <v>4.7166666666666668</v>
      </c>
      <c r="K18" s="75">
        <f>J17/I16-1</f>
        <v>0.5</v>
      </c>
      <c r="L18" s="85"/>
      <c r="M18" s="79"/>
      <c r="N18" s="84">
        <v>70.75</v>
      </c>
      <c r="O18" s="11"/>
      <c r="P18" s="28" t="s">
        <v>32</v>
      </c>
    </row>
    <row r="19" spans="1:18" ht="15.75" customHeight="1">
      <c r="A19" s="77" t="s">
        <v>30</v>
      </c>
      <c r="B19" s="77" t="s">
        <v>117</v>
      </c>
      <c r="C19" s="86" t="s">
        <v>39</v>
      </c>
      <c r="D19" s="13" t="s">
        <v>41</v>
      </c>
      <c r="E19" s="13">
        <v>1.4</v>
      </c>
      <c r="F19" s="13">
        <v>14</v>
      </c>
      <c r="G19" s="13">
        <f>F19*42</f>
        <v>588</v>
      </c>
      <c r="H19" s="10">
        <v>42</v>
      </c>
      <c r="I19" s="77">
        <v>6.1</v>
      </c>
      <c r="J19" s="34">
        <f>N19/14</f>
        <v>4.7</v>
      </c>
      <c r="K19" s="75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7" t="s">
        <v>30</v>
      </c>
      <c r="B20" s="83" t="s">
        <v>118</v>
      </c>
      <c r="C20" s="86" t="s">
        <v>39</v>
      </c>
      <c r="D20" s="77" t="s">
        <v>42</v>
      </c>
      <c r="E20" s="77" t="s">
        <v>34</v>
      </c>
      <c r="F20" s="77">
        <v>20</v>
      </c>
      <c r="G20" s="77">
        <f>F20*42</f>
        <v>840</v>
      </c>
      <c r="H20" s="10">
        <v>42</v>
      </c>
      <c r="I20" s="77">
        <v>3.92</v>
      </c>
      <c r="J20" s="9">
        <f>N20/F$20</f>
        <v>5</v>
      </c>
      <c r="K20" s="75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7" t="s">
        <v>30</v>
      </c>
      <c r="B21" s="83" t="s">
        <v>118</v>
      </c>
      <c r="C21" s="86" t="s">
        <v>39</v>
      </c>
      <c r="D21" s="77" t="s">
        <v>42</v>
      </c>
      <c r="E21" s="77" t="s">
        <v>34</v>
      </c>
      <c r="F21" s="77">
        <v>20</v>
      </c>
      <c r="G21" s="77">
        <f t="shared" ref="G21:G23" si="6">F21*42</f>
        <v>840</v>
      </c>
      <c r="H21" s="10">
        <v>42</v>
      </c>
      <c r="I21" s="77">
        <v>4.92</v>
      </c>
      <c r="J21" s="84">
        <f>N21/F$20</f>
        <v>5.6</v>
      </c>
      <c r="K21" s="75">
        <f>J21/I20-1</f>
        <v>0.4285714285714286</v>
      </c>
      <c r="L21" s="31"/>
      <c r="M21" s="7"/>
      <c r="N21" s="84">
        <v>112</v>
      </c>
      <c r="O21" s="11"/>
      <c r="P21" s="39" t="s">
        <v>36</v>
      </c>
    </row>
    <row r="22" spans="1:18" ht="15.75" customHeight="1">
      <c r="A22" s="77" t="s">
        <v>30</v>
      </c>
      <c r="B22" s="83" t="s">
        <v>118</v>
      </c>
      <c r="C22" s="86" t="s">
        <v>39</v>
      </c>
      <c r="D22" s="77" t="s">
        <v>42</v>
      </c>
      <c r="E22" s="77" t="s">
        <v>34</v>
      </c>
      <c r="F22" s="77">
        <v>20</v>
      </c>
      <c r="G22" s="77">
        <f t="shared" si="6"/>
        <v>840</v>
      </c>
      <c r="H22" s="78">
        <v>42</v>
      </c>
      <c r="I22" s="77">
        <v>5.92</v>
      </c>
      <c r="J22" s="84">
        <f>N22/F$20</f>
        <v>0</v>
      </c>
      <c r="K22" s="75">
        <f>J21/I20-1</f>
        <v>0.4285714285714286</v>
      </c>
      <c r="L22" s="34"/>
      <c r="M22" s="14"/>
      <c r="N22" s="85"/>
      <c r="O22" s="11"/>
      <c r="P22" s="28" t="s">
        <v>32</v>
      </c>
    </row>
    <row r="23" spans="1:18" ht="15.75" customHeight="1">
      <c r="A23" s="77" t="s">
        <v>30</v>
      </c>
      <c r="B23" s="83" t="s">
        <v>118</v>
      </c>
      <c r="C23" s="86" t="s">
        <v>39</v>
      </c>
      <c r="D23" s="77" t="s">
        <v>42</v>
      </c>
      <c r="E23" s="77" t="s">
        <v>34</v>
      </c>
      <c r="F23" s="77">
        <v>20</v>
      </c>
      <c r="G23" s="77">
        <f t="shared" si="6"/>
        <v>840</v>
      </c>
      <c r="H23" s="78">
        <v>43</v>
      </c>
      <c r="I23" s="77">
        <v>6.92</v>
      </c>
      <c r="J23" s="9">
        <f>N23/F$20</f>
        <v>5.95</v>
      </c>
      <c r="K23" s="75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7" t="s">
        <v>30</v>
      </c>
      <c r="B24" s="83" t="s">
        <v>118</v>
      </c>
      <c r="C24" s="86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7">
        <v>7.92</v>
      </c>
      <c r="J24" s="9">
        <f>N24/F24</f>
        <v>5.83</v>
      </c>
      <c r="K24" s="75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7" t="s">
        <v>30</v>
      </c>
      <c r="B25" s="82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5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7" t="s">
        <v>30</v>
      </c>
      <c r="B26" s="76" t="s">
        <v>47</v>
      </c>
      <c r="C26" s="77" t="s">
        <v>39</v>
      </c>
      <c r="D26" s="77" t="s">
        <v>48</v>
      </c>
      <c r="E26" s="77" t="s">
        <v>34</v>
      </c>
      <c r="F26" s="77">
        <v>20</v>
      </c>
      <c r="G26" s="77">
        <f>F26*42</f>
        <v>840</v>
      </c>
      <c r="H26" s="10">
        <v>42</v>
      </c>
      <c r="I26" s="77">
        <v>3.76</v>
      </c>
      <c r="J26" s="9">
        <f>N26/F26</f>
        <v>5.0999999999999996</v>
      </c>
      <c r="K26" s="75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7" t="s">
        <v>30</v>
      </c>
      <c r="B27" s="76" t="s">
        <v>47</v>
      </c>
      <c r="C27" s="77" t="s">
        <v>39</v>
      </c>
      <c r="D27" s="77" t="s">
        <v>48</v>
      </c>
      <c r="E27" s="77" t="s">
        <v>34</v>
      </c>
      <c r="F27" s="77">
        <v>20</v>
      </c>
      <c r="G27" s="77">
        <f t="shared" ref="G27:G29" si="7">F27*42</f>
        <v>840</v>
      </c>
      <c r="H27" s="10">
        <v>42</v>
      </c>
      <c r="I27" s="77">
        <v>3.76</v>
      </c>
      <c r="J27" s="9">
        <f>N27/F$26</f>
        <v>5.5</v>
      </c>
      <c r="K27" s="75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7" t="s">
        <v>30</v>
      </c>
      <c r="B28" s="76" t="s">
        <v>47</v>
      </c>
      <c r="C28" s="77" t="s">
        <v>39</v>
      </c>
      <c r="D28" s="77" t="s">
        <v>48</v>
      </c>
      <c r="E28" s="77" t="s">
        <v>34</v>
      </c>
      <c r="F28" s="77">
        <v>20</v>
      </c>
      <c r="G28" s="77">
        <f t="shared" si="7"/>
        <v>840</v>
      </c>
      <c r="H28" s="10">
        <v>42</v>
      </c>
      <c r="I28" s="77">
        <v>3.76</v>
      </c>
      <c r="J28" s="9">
        <f>N28/F$26</f>
        <v>6.45</v>
      </c>
      <c r="K28" s="75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7" t="s">
        <v>30</v>
      </c>
      <c r="B29" s="76" t="s">
        <v>47</v>
      </c>
      <c r="C29" s="77" t="s">
        <v>39</v>
      </c>
      <c r="D29" s="77" t="s">
        <v>48</v>
      </c>
      <c r="E29" s="77" t="s">
        <v>34</v>
      </c>
      <c r="F29" s="77">
        <v>20</v>
      </c>
      <c r="G29" s="77">
        <f t="shared" si="7"/>
        <v>840</v>
      </c>
      <c r="H29" s="10">
        <v>42</v>
      </c>
      <c r="I29" s="77">
        <v>3.76</v>
      </c>
      <c r="J29" s="9">
        <f>N29/F$26</f>
        <v>6</v>
      </c>
      <c r="K29" s="75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7" t="s">
        <v>30</v>
      </c>
      <c r="B30" s="91" t="s">
        <v>49</v>
      </c>
      <c r="C30" s="86" t="s">
        <v>39</v>
      </c>
      <c r="D30" s="77" t="s">
        <v>50</v>
      </c>
      <c r="E30" s="77" t="s">
        <v>34</v>
      </c>
      <c r="F30" s="77">
        <v>20</v>
      </c>
      <c r="G30" s="77">
        <f>F30*42</f>
        <v>840</v>
      </c>
      <c r="H30" s="14">
        <v>42</v>
      </c>
      <c r="I30" s="77">
        <v>3.91</v>
      </c>
      <c r="J30" s="34">
        <f>N30/F30</f>
        <v>5.75</v>
      </c>
      <c r="K30" s="75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7" t="s">
        <v>30</v>
      </c>
      <c r="B31" s="91" t="s">
        <v>49</v>
      </c>
      <c r="C31" s="86" t="s">
        <v>39</v>
      </c>
      <c r="D31" s="77" t="s">
        <v>50</v>
      </c>
      <c r="E31" s="77" t="s">
        <v>34</v>
      </c>
      <c r="F31" s="77">
        <v>20</v>
      </c>
      <c r="G31" s="77">
        <f t="shared" ref="G31:G32" si="8">F31*42</f>
        <v>840</v>
      </c>
      <c r="H31" s="14">
        <v>42</v>
      </c>
      <c r="I31" s="77">
        <v>3.91</v>
      </c>
      <c r="J31" s="34">
        <f>N31/F$30</f>
        <v>6.75</v>
      </c>
      <c r="K31" s="75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7" t="s">
        <v>30</v>
      </c>
      <c r="B32" s="91" t="s">
        <v>49</v>
      </c>
      <c r="C32" s="86" t="s">
        <v>39</v>
      </c>
      <c r="D32" s="77" t="s">
        <v>50</v>
      </c>
      <c r="E32" s="77" t="s">
        <v>34</v>
      </c>
      <c r="F32" s="77">
        <v>20</v>
      </c>
      <c r="G32" s="77">
        <f t="shared" si="8"/>
        <v>840</v>
      </c>
      <c r="H32" s="14">
        <v>42</v>
      </c>
      <c r="I32" s="77">
        <v>3.91</v>
      </c>
      <c r="J32" s="34">
        <f>N32/F$30</f>
        <v>6.25</v>
      </c>
      <c r="K32" s="75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7" t="s">
        <v>30</v>
      </c>
      <c r="B33" s="91" t="s">
        <v>51</v>
      </c>
      <c r="C33" s="86" t="s">
        <v>39</v>
      </c>
      <c r="D33" s="77" t="s">
        <v>52</v>
      </c>
      <c r="E33" s="77" t="s">
        <v>34</v>
      </c>
      <c r="F33" s="77">
        <v>20</v>
      </c>
      <c r="G33" s="77">
        <f>F33*42</f>
        <v>840</v>
      </c>
      <c r="H33" s="14">
        <v>42</v>
      </c>
      <c r="I33" s="77">
        <v>4.43</v>
      </c>
      <c r="J33" s="34">
        <f>N33/F$33</f>
        <v>5.75</v>
      </c>
      <c r="K33" s="75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7" t="s">
        <v>30</v>
      </c>
      <c r="B34" s="91" t="s">
        <v>51</v>
      </c>
      <c r="C34" s="86" t="s">
        <v>39</v>
      </c>
      <c r="D34" s="77" t="s">
        <v>52</v>
      </c>
      <c r="E34" s="77" t="s">
        <v>34</v>
      </c>
      <c r="F34" s="77">
        <v>20</v>
      </c>
      <c r="G34" s="77">
        <f t="shared" ref="G34:G35" si="9">F34*42</f>
        <v>840</v>
      </c>
      <c r="H34" s="14">
        <v>42</v>
      </c>
      <c r="I34" s="77">
        <v>4.43</v>
      </c>
      <c r="J34" s="34">
        <f>N34/F$33</f>
        <v>6.75</v>
      </c>
      <c r="K34" s="75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7" t="s">
        <v>30</v>
      </c>
      <c r="B35" s="91" t="s">
        <v>51</v>
      </c>
      <c r="C35" s="86" t="s">
        <v>39</v>
      </c>
      <c r="D35" s="77" t="s">
        <v>52</v>
      </c>
      <c r="E35" s="77" t="s">
        <v>34</v>
      </c>
      <c r="F35" s="77">
        <v>20</v>
      </c>
      <c r="G35" s="77">
        <f t="shared" si="9"/>
        <v>840</v>
      </c>
      <c r="H35" s="14">
        <v>42</v>
      </c>
      <c r="I35" s="77">
        <v>4.43</v>
      </c>
      <c r="J35" s="34">
        <f>N35/F$33</f>
        <v>6.25</v>
      </c>
      <c r="K35" s="75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3" t="s">
        <v>53</v>
      </c>
      <c r="B36" s="88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>F36*42</f>
        <v>1680</v>
      </c>
      <c r="H36" s="10">
        <v>42</v>
      </c>
      <c r="I36" s="10">
        <v>4.92</v>
      </c>
      <c r="J36" s="9">
        <f>N36/F36</f>
        <v>5.9</v>
      </c>
      <c r="K36" s="75">
        <f t="shared" si="1"/>
        <v>0.19918699186991873</v>
      </c>
      <c r="L36" s="9">
        <f>N36/8</f>
        <v>29.5</v>
      </c>
      <c r="M36" s="10"/>
      <c r="N36" s="9">
        <v>236</v>
      </c>
      <c r="O36" s="11"/>
      <c r="P36" s="41" t="s">
        <v>56</v>
      </c>
    </row>
    <row r="37" spans="1:16" ht="15.75" customHeight="1">
      <c r="A37" s="83"/>
      <c r="B37" s="88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>F37*42</f>
        <v>1680</v>
      </c>
      <c r="H37" s="10">
        <v>42</v>
      </c>
      <c r="I37" s="10">
        <v>4.7300000000000004</v>
      </c>
      <c r="J37" s="9">
        <f>N37/F37</f>
        <v>5.9</v>
      </c>
      <c r="K37" s="75">
        <f t="shared" si="1"/>
        <v>0.24735729386892169</v>
      </c>
      <c r="L37" s="9">
        <f>N37/8</f>
        <v>29.5</v>
      </c>
      <c r="M37" s="10"/>
      <c r="N37" s="9">
        <v>236</v>
      </c>
      <c r="O37" s="11"/>
      <c r="P37" s="41" t="s">
        <v>56</v>
      </c>
    </row>
    <row r="38" spans="1:16" s="45" customFormat="1" ht="15.75" customHeight="1">
      <c r="A38" s="77" t="s">
        <v>59</v>
      </c>
      <c r="B38" s="89" t="s">
        <v>60</v>
      </c>
      <c r="C38" s="77" t="s">
        <v>28</v>
      </c>
      <c r="D38" s="93" t="s">
        <v>61</v>
      </c>
      <c r="E38" s="77" t="s">
        <v>34</v>
      </c>
      <c r="F38" s="77">
        <v>30</v>
      </c>
      <c r="G38" s="77">
        <f>F38*42</f>
        <v>1260</v>
      </c>
      <c r="H38" s="10">
        <v>42</v>
      </c>
      <c r="I38" s="77">
        <v>4.84</v>
      </c>
      <c r="J38" s="9">
        <f>N38/F38</f>
        <v>6</v>
      </c>
      <c r="K38" s="75">
        <f t="shared" si="1"/>
        <v>0.2396694214876034</v>
      </c>
      <c r="L38" s="9"/>
      <c r="M38" s="10"/>
      <c r="N38" s="9">
        <v>180</v>
      </c>
      <c r="O38" s="43"/>
      <c r="P38" s="44" t="s">
        <v>62</v>
      </c>
    </row>
    <row r="39" spans="1:16" s="45" customFormat="1" ht="15.75" customHeight="1">
      <c r="A39" s="77" t="s">
        <v>59</v>
      </c>
      <c r="B39" s="89" t="s">
        <v>60</v>
      </c>
      <c r="C39" s="77" t="s">
        <v>28</v>
      </c>
      <c r="D39" s="93" t="s">
        <v>61</v>
      </c>
      <c r="E39" s="77" t="s">
        <v>34</v>
      </c>
      <c r="F39" s="77">
        <v>30</v>
      </c>
      <c r="G39" s="77">
        <f>F39*42</f>
        <v>1260</v>
      </c>
      <c r="H39" s="10">
        <v>42</v>
      </c>
      <c r="I39" s="77">
        <v>4.84</v>
      </c>
      <c r="J39" s="9">
        <f>N39/F38</f>
        <v>5.75</v>
      </c>
      <c r="K39" s="75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7" t="s">
        <v>59</v>
      </c>
      <c r="B40" s="89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6" si="10">F40*42</f>
        <v>831.6</v>
      </c>
      <c r="H40" s="7">
        <v>42</v>
      </c>
      <c r="I40" s="7">
        <v>5.34</v>
      </c>
      <c r="J40" s="31">
        <f>N40/F40</f>
        <v>5.954545454545455</v>
      </c>
      <c r="K40" s="75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6" customHeight="1">
      <c r="A41" s="77" t="s">
        <v>59</v>
      </c>
      <c r="B41" s="94" t="s">
        <v>66</v>
      </c>
      <c r="C41" s="48" t="s">
        <v>28</v>
      </c>
      <c r="D41" s="49" t="s">
        <v>67</v>
      </c>
      <c r="E41" s="48" t="s">
        <v>34</v>
      </c>
      <c r="F41" s="50">
        <v>30</v>
      </c>
      <c r="G41" s="50">
        <f t="shared" si="10"/>
        <v>1260</v>
      </c>
      <c r="H41" s="50">
        <v>42</v>
      </c>
      <c r="I41" s="77" t="s">
        <v>34</v>
      </c>
      <c r="J41" s="51">
        <v>5.15</v>
      </c>
      <c r="K41" s="77" t="s">
        <v>34</v>
      </c>
      <c r="L41" s="51"/>
      <c r="M41" s="50"/>
      <c r="N41" s="52">
        <v>117.9</v>
      </c>
      <c r="O41" s="51"/>
      <c r="P41" s="53"/>
    </row>
    <row r="42" spans="1:16" s="45" customFormat="1" ht="15.75" customHeight="1">
      <c r="A42" s="77" t="s">
        <v>59</v>
      </c>
      <c r="B42" s="90" t="s">
        <v>68</v>
      </c>
      <c r="C42" s="54" t="s">
        <v>28</v>
      </c>
      <c r="D42" s="55" t="s">
        <v>69</v>
      </c>
      <c r="E42" s="56" t="s">
        <v>34</v>
      </c>
      <c r="F42" s="54">
        <v>30</v>
      </c>
      <c r="G42" s="50">
        <f t="shared" si="10"/>
        <v>1260</v>
      </c>
      <c r="H42" s="54">
        <v>42</v>
      </c>
      <c r="I42" s="77" t="s">
        <v>34</v>
      </c>
      <c r="J42" s="57"/>
      <c r="K42" s="77" t="s">
        <v>34</v>
      </c>
      <c r="L42" s="57"/>
      <c r="M42" s="54"/>
      <c r="N42" s="57"/>
      <c r="O42" s="57"/>
      <c r="P42" s="58"/>
    </row>
    <row r="43" spans="1:16" s="45" customFormat="1" ht="15.75" customHeight="1">
      <c r="A43" s="77" t="s">
        <v>70</v>
      </c>
      <c r="B43" s="82" t="s">
        <v>71</v>
      </c>
      <c r="C43" s="86" t="s">
        <v>72</v>
      </c>
      <c r="D43" s="10" t="s">
        <v>73</v>
      </c>
      <c r="E43" s="10">
        <v>5</v>
      </c>
      <c r="F43" s="10">
        <v>30</v>
      </c>
      <c r="G43" s="7">
        <f t="shared" si="10"/>
        <v>1260</v>
      </c>
      <c r="H43" s="10">
        <v>42</v>
      </c>
      <c r="I43" s="10">
        <v>0.94</v>
      </c>
      <c r="J43" s="9">
        <f>N43/F43</f>
        <v>1.1499999999999999</v>
      </c>
      <c r="K43" s="75">
        <f t="shared" si="1"/>
        <v>0.22340425531914887</v>
      </c>
      <c r="L43" s="9">
        <f>N43/6</f>
        <v>5.75</v>
      </c>
      <c r="M43" s="10"/>
      <c r="N43" s="9">
        <v>34.5</v>
      </c>
      <c r="O43" s="11">
        <v>30</v>
      </c>
      <c r="P43" s="59" t="s">
        <v>74</v>
      </c>
    </row>
    <row r="44" spans="1:16" ht="31.5">
      <c r="A44" s="77" t="s">
        <v>70</v>
      </c>
      <c r="B44" s="82" t="s">
        <v>75</v>
      </c>
      <c r="C44" s="86" t="s">
        <v>72</v>
      </c>
      <c r="D44" s="16" t="s">
        <v>76</v>
      </c>
      <c r="E44" s="60">
        <v>1.1000000000000001</v>
      </c>
      <c r="F44" s="10">
        <f>25*1.1</f>
        <v>27.500000000000004</v>
      </c>
      <c r="G44" s="10">
        <f t="shared" si="10"/>
        <v>1155.0000000000002</v>
      </c>
      <c r="H44" s="10">
        <v>42</v>
      </c>
      <c r="I44" s="10">
        <v>1.42</v>
      </c>
      <c r="J44" s="9">
        <f>N44/F44</f>
        <v>1.6363636363636362</v>
      </c>
      <c r="K44" s="75">
        <f t="shared" si="1"/>
        <v>0.15236875800256078</v>
      </c>
      <c r="L44" s="9">
        <f>N44/25</f>
        <v>1.8</v>
      </c>
      <c r="M44" s="10"/>
      <c r="N44" s="9">
        <v>45</v>
      </c>
      <c r="O44" s="9">
        <v>45</v>
      </c>
      <c r="P44" s="61" t="s">
        <v>123</v>
      </c>
    </row>
    <row r="45" spans="1:16" s="45" customFormat="1" ht="18" customHeight="1">
      <c r="A45" s="7" t="s">
        <v>77</v>
      </c>
      <c r="B45" s="92" t="s">
        <v>78</v>
      </c>
      <c r="C45" s="30" t="s">
        <v>15</v>
      </c>
      <c r="D45" s="17" t="s">
        <v>79</v>
      </c>
      <c r="E45" s="17">
        <v>0.875</v>
      </c>
      <c r="F45" s="62">
        <f>E45*24</f>
        <v>21</v>
      </c>
      <c r="G45" s="10">
        <f t="shared" si="10"/>
        <v>882</v>
      </c>
      <c r="H45" s="10">
        <v>42</v>
      </c>
      <c r="I45" s="10">
        <v>9.1199999999999992</v>
      </c>
      <c r="J45" s="9">
        <f>N45/F45</f>
        <v>10.8</v>
      </c>
      <c r="K45" s="75">
        <f t="shared" si="1"/>
        <v>0.1842105263157896</v>
      </c>
      <c r="L45" s="9">
        <f>N45/24</f>
        <v>9.4500000000000011</v>
      </c>
      <c r="M45" s="10"/>
      <c r="N45" s="9">
        <v>226.8</v>
      </c>
      <c r="O45" s="9">
        <v>226.8</v>
      </c>
      <c r="P45" s="18" t="s">
        <v>20</v>
      </c>
    </row>
    <row r="46" spans="1:16" s="45" customFormat="1" ht="18" customHeight="1">
      <c r="A46" s="7" t="s">
        <v>77</v>
      </c>
      <c r="B46" s="92" t="s">
        <v>80</v>
      </c>
      <c r="C46" s="30" t="s">
        <v>15</v>
      </c>
      <c r="D46" s="17" t="s">
        <v>81</v>
      </c>
      <c r="E46" s="17">
        <v>0.75</v>
      </c>
      <c r="F46" s="62">
        <v>19.5</v>
      </c>
      <c r="G46" s="10">
        <f t="shared" si="10"/>
        <v>819</v>
      </c>
      <c r="H46" s="10">
        <v>42</v>
      </c>
      <c r="I46" s="10">
        <v>5.21</v>
      </c>
      <c r="J46" s="9">
        <f>O46/F46</f>
        <v>7.5066666666666668</v>
      </c>
      <c r="K46" s="75">
        <f t="shared" si="1"/>
        <v>0.44081893793985927</v>
      </c>
      <c r="L46" s="9">
        <f>N46/26</f>
        <v>5.63</v>
      </c>
      <c r="M46" s="10"/>
      <c r="N46" s="9">
        <v>146.38</v>
      </c>
      <c r="O46" s="9">
        <v>146.38</v>
      </c>
      <c r="P46" s="18" t="s">
        <v>20</v>
      </c>
    </row>
    <row r="47" spans="1:16" s="64" customFormat="1" ht="18" customHeight="1">
      <c r="A47" s="10" t="s">
        <v>82</v>
      </c>
      <c r="B47" s="92" t="s">
        <v>83</v>
      </c>
      <c r="C47" s="30" t="s">
        <v>15</v>
      </c>
      <c r="D47" s="17" t="s">
        <v>84</v>
      </c>
      <c r="E47" s="66"/>
      <c r="F47" s="67"/>
      <c r="G47" s="67"/>
      <c r="H47" s="67"/>
      <c r="I47" s="67"/>
      <c r="J47" s="68"/>
      <c r="K47" s="77" t="s">
        <v>34</v>
      </c>
      <c r="L47" s="68"/>
      <c r="M47" s="69"/>
      <c r="N47" s="68"/>
      <c r="O47" s="65"/>
      <c r="P47" s="63"/>
    </row>
    <row r="48" spans="1:16" s="64" customFormat="1" ht="19.5" customHeight="1">
      <c r="A48" s="77" t="s">
        <v>85</v>
      </c>
      <c r="B48" s="95" t="s">
        <v>86</v>
      </c>
      <c r="C48" s="77" t="s">
        <v>87</v>
      </c>
      <c r="D48" s="70" t="s">
        <v>88</v>
      </c>
      <c r="E48" s="70">
        <v>5</v>
      </c>
      <c r="F48" s="62">
        <v>40</v>
      </c>
      <c r="G48" s="10">
        <f>F48*42</f>
        <v>1680</v>
      </c>
      <c r="H48" s="10">
        <v>42</v>
      </c>
      <c r="I48" s="10">
        <v>1.26</v>
      </c>
      <c r="J48" s="9">
        <v>1.95</v>
      </c>
      <c r="K48" s="75">
        <f t="shared" si="1"/>
        <v>0.54761904761904767</v>
      </c>
      <c r="L48" s="9">
        <f>N48/8</f>
        <v>9.75</v>
      </c>
      <c r="M48" s="10"/>
      <c r="N48" s="9">
        <f>J48*F48</f>
        <v>78</v>
      </c>
      <c r="O48" s="11"/>
      <c r="P48" s="71" t="s">
        <v>89</v>
      </c>
    </row>
    <row r="49" spans="1:16" s="64" customFormat="1" ht="21" customHeight="1">
      <c r="A49" s="77" t="s">
        <v>85</v>
      </c>
      <c r="B49" s="95" t="s">
        <v>90</v>
      </c>
      <c r="C49" s="77" t="s">
        <v>87</v>
      </c>
      <c r="D49" s="70" t="s">
        <v>91</v>
      </c>
      <c r="E49" s="70">
        <v>5</v>
      </c>
      <c r="F49" s="62">
        <v>40</v>
      </c>
      <c r="G49" s="10">
        <f t="shared" ref="G49:G59" si="11">F49*42</f>
        <v>1680</v>
      </c>
      <c r="H49" s="10">
        <v>42</v>
      </c>
      <c r="I49" s="10">
        <v>1.53</v>
      </c>
      <c r="J49" s="9">
        <v>2.2999999999999998</v>
      </c>
      <c r="K49" s="75">
        <f t="shared" si="1"/>
        <v>0.50326797385620892</v>
      </c>
      <c r="L49" s="9">
        <f t="shared" ref="L49:L59" si="12">N49/8</f>
        <v>11.5</v>
      </c>
      <c r="M49" s="10"/>
      <c r="N49" s="9">
        <f t="shared" ref="N49:N59" si="13">J49*F49</f>
        <v>92</v>
      </c>
      <c r="O49" s="11"/>
      <c r="P49" s="71" t="s">
        <v>89</v>
      </c>
    </row>
    <row r="50" spans="1:16" s="64" customFormat="1" ht="21" customHeight="1">
      <c r="A50" s="77" t="s">
        <v>85</v>
      </c>
      <c r="B50" s="95" t="s">
        <v>92</v>
      </c>
      <c r="C50" s="77" t="s">
        <v>87</v>
      </c>
      <c r="D50" s="70" t="s">
        <v>93</v>
      </c>
      <c r="E50" s="70">
        <v>5</v>
      </c>
      <c r="F50" s="62">
        <v>40</v>
      </c>
      <c r="G50" s="10">
        <f t="shared" si="11"/>
        <v>1680</v>
      </c>
      <c r="H50" s="10">
        <v>42</v>
      </c>
      <c r="I50" s="10">
        <v>1.76</v>
      </c>
      <c r="J50" s="9">
        <v>2.2999999999999998</v>
      </c>
      <c r="K50" s="75">
        <f t="shared" si="1"/>
        <v>0.30681818181818166</v>
      </c>
      <c r="L50" s="9">
        <f t="shared" si="12"/>
        <v>11.5</v>
      </c>
      <c r="M50" s="10"/>
      <c r="N50" s="9">
        <f t="shared" si="13"/>
        <v>92</v>
      </c>
      <c r="O50" s="11"/>
      <c r="P50" s="71" t="s">
        <v>89</v>
      </c>
    </row>
    <row r="51" spans="1:16" s="64" customFormat="1" ht="18" customHeight="1">
      <c r="A51" s="77" t="s">
        <v>85</v>
      </c>
      <c r="B51" s="95" t="s">
        <v>94</v>
      </c>
      <c r="C51" s="77" t="s">
        <v>87</v>
      </c>
      <c r="D51" s="70" t="s">
        <v>95</v>
      </c>
      <c r="E51" s="70">
        <v>5</v>
      </c>
      <c r="F51" s="62">
        <v>40</v>
      </c>
      <c r="G51" s="10">
        <f t="shared" si="11"/>
        <v>1680</v>
      </c>
      <c r="H51" s="10">
        <v>42</v>
      </c>
      <c r="I51" s="77" t="s">
        <v>34</v>
      </c>
      <c r="J51" s="9">
        <v>5.2</v>
      </c>
      <c r="K51" s="77" t="s">
        <v>34</v>
      </c>
      <c r="L51" s="9">
        <f t="shared" si="12"/>
        <v>26</v>
      </c>
      <c r="M51" s="10"/>
      <c r="N51" s="9">
        <f t="shared" si="13"/>
        <v>208</v>
      </c>
      <c r="O51" s="11"/>
      <c r="P51" s="71" t="s">
        <v>89</v>
      </c>
    </row>
    <row r="52" spans="1:16" s="64" customFormat="1" ht="22.5" customHeight="1">
      <c r="A52" s="77" t="s">
        <v>85</v>
      </c>
      <c r="B52" s="95" t="s">
        <v>96</v>
      </c>
      <c r="C52" s="77" t="s">
        <v>87</v>
      </c>
      <c r="D52" s="70" t="s">
        <v>97</v>
      </c>
      <c r="E52" s="70">
        <v>5</v>
      </c>
      <c r="F52" s="62">
        <v>40</v>
      </c>
      <c r="G52" s="10">
        <f t="shared" si="11"/>
        <v>1680</v>
      </c>
      <c r="H52" s="10">
        <v>42</v>
      </c>
      <c r="I52" s="10">
        <v>2.75</v>
      </c>
      <c r="J52" s="9">
        <v>2.95</v>
      </c>
      <c r="K52" s="75">
        <f t="shared" si="1"/>
        <v>7.2727272727272751E-2</v>
      </c>
      <c r="L52" s="9">
        <f t="shared" si="12"/>
        <v>14.75</v>
      </c>
      <c r="M52" s="10"/>
      <c r="N52" s="9">
        <f t="shared" si="13"/>
        <v>118</v>
      </c>
      <c r="O52" s="11"/>
      <c r="P52" s="71" t="s">
        <v>89</v>
      </c>
    </row>
    <row r="53" spans="1:16" s="64" customFormat="1" ht="20.25" customHeight="1">
      <c r="A53" s="77" t="s">
        <v>85</v>
      </c>
      <c r="B53" s="95" t="s">
        <v>98</v>
      </c>
      <c r="C53" s="77" t="s">
        <v>87</v>
      </c>
      <c r="D53" s="70" t="s">
        <v>99</v>
      </c>
      <c r="E53" s="70">
        <v>5</v>
      </c>
      <c r="F53" s="62">
        <v>40</v>
      </c>
      <c r="G53" s="10">
        <f t="shared" si="11"/>
        <v>1680</v>
      </c>
      <c r="H53" s="10">
        <v>42</v>
      </c>
      <c r="I53" s="10">
        <v>2.7</v>
      </c>
      <c r="J53" s="9">
        <v>3.25</v>
      </c>
      <c r="K53" s="75">
        <f t="shared" si="1"/>
        <v>0.20370370370370372</v>
      </c>
      <c r="L53" s="9">
        <f t="shared" si="12"/>
        <v>16.25</v>
      </c>
      <c r="M53" s="10"/>
      <c r="N53" s="9">
        <f t="shared" si="13"/>
        <v>130</v>
      </c>
      <c r="O53" s="11"/>
      <c r="P53" s="71" t="s">
        <v>89</v>
      </c>
    </row>
    <row r="54" spans="1:16" s="64" customFormat="1" ht="18" customHeight="1">
      <c r="A54" s="77" t="s">
        <v>85</v>
      </c>
      <c r="B54" s="95" t="s">
        <v>100</v>
      </c>
      <c r="C54" s="77" t="s">
        <v>87</v>
      </c>
      <c r="D54" s="70" t="s">
        <v>101</v>
      </c>
      <c r="E54" s="70">
        <v>5</v>
      </c>
      <c r="F54" s="62">
        <v>40</v>
      </c>
      <c r="G54" s="10">
        <f t="shared" si="11"/>
        <v>1680</v>
      </c>
      <c r="H54" s="10">
        <v>42</v>
      </c>
      <c r="I54" s="10">
        <v>2.58</v>
      </c>
      <c r="J54" s="9">
        <v>3.3</v>
      </c>
      <c r="K54" s="75">
        <f t="shared" si="1"/>
        <v>0.27906976744186029</v>
      </c>
      <c r="L54" s="9">
        <f t="shared" si="12"/>
        <v>16.5</v>
      </c>
      <c r="M54" s="10"/>
      <c r="N54" s="9">
        <f t="shared" si="13"/>
        <v>132</v>
      </c>
      <c r="O54" s="11"/>
      <c r="P54" s="71" t="s">
        <v>89</v>
      </c>
    </row>
    <row r="55" spans="1:16" s="64" customFormat="1" ht="19.5" customHeight="1">
      <c r="A55" s="77" t="s">
        <v>85</v>
      </c>
      <c r="B55" s="95" t="s">
        <v>102</v>
      </c>
      <c r="C55" s="86" t="s">
        <v>119</v>
      </c>
      <c r="D55" s="70" t="s">
        <v>103</v>
      </c>
      <c r="E55" s="70">
        <v>5</v>
      </c>
      <c r="F55" s="62">
        <v>40</v>
      </c>
      <c r="G55" s="10">
        <f t="shared" si="11"/>
        <v>1680</v>
      </c>
      <c r="H55" s="10">
        <v>42</v>
      </c>
      <c r="I55" s="10">
        <v>1.7</v>
      </c>
      <c r="J55" s="9">
        <v>2.7</v>
      </c>
      <c r="K55" s="75">
        <f t="shared" si="1"/>
        <v>0.58823529411764719</v>
      </c>
      <c r="L55" s="9">
        <f t="shared" si="12"/>
        <v>13.5</v>
      </c>
      <c r="M55" s="10"/>
      <c r="N55" s="9">
        <f t="shared" si="13"/>
        <v>108</v>
      </c>
      <c r="O55" s="11"/>
      <c r="P55" s="71" t="s">
        <v>89</v>
      </c>
    </row>
    <row r="56" spans="1:16" s="64" customFormat="1" ht="19.5" customHeight="1">
      <c r="A56" s="77" t="s">
        <v>85</v>
      </c>
      <c r="B56" s="95" t="s">
        <v>104</v>
      </c>
      <c r="C56" s="86" t="s">
        <v>119</v>
      </c>
      <c r="D56" s="70" t="s">
        <v>105</v>
      </c>
      <c r="E56" s="70">
        <v>5</v>
      </c>
      <c r="F56" s="62">
        <v>40</v>
      </c>
      <c r="G56" s="10">
        <f t="shared" si="11"/>
        <v>1680</v>
      </c>
      <c r="H56" s="10">
        <v>42</v>
      </c>
      <c r="I56" s="10">
        <v>2.6</v>
      </c>
      <c r="J56" s="9">
        <v>4</v>
      </c>
      <c r="K56" s="75">
        <f t="shared" si="1"/>
        <v>0.53846153846153832</v>
      </c>
      <c r="L56" s="9">
        <f t="shared" si="12"/>
        <v>20</v>
      </c>
      <c r="M56" s="10"/>
      <c r="N56" s="9">
        <f t="shared" si="13"/>
        <v>160</v>
      </c>
      <c r="O56" s="11"/>
      <c r="P56" s="71" t="s">
        <v>89</v>
      </c>
    </row>
    <row r="57" spans="1:16" s="64" customFormat="1" ht="19.5" customHeight="1">
      <c r="A57" s="77" t="s">
        <v>85</v>
      </c>
      <c r="B57" s="96" t="s">
        <v>106</v>
      </c>
      <c r="C57" s="86" t="s">
        <v>119</v>
      </c>
      <c r="D57" s="70" t="s">
        <v>107</v>
      </c>
      <c r="E57" s="70">
        <v>5</v>
      </c>
      <c r="F57" s="62">
        <v>40</v>
      </c>
      <c r="G57" s="10">
        <f t="shared" si="11"/>
        <v>1680</v>
      </c>
      <c r="H57" s="10">
        <v>42</v>
      </c>
      <c r="I57" s="77" t="s">
        <v>34</v>
      </c>
      <c r="J57" s="9">
        <f>N57/40</f>
        <v>7.5</v>
      </c>
      <c r="K57" s="77" t="s">
        <v>34</v>
      </c>
      <c r="L57" s="9">
        <f t="shared" si="12"/>
        <v>37.5</v>
      </c>
      <c r="M57" s="10"/>
      <c r="N57" s="9">
        <v>300</v>
      </c>
      <c r="O57" s="11"/>
      <c r="P57" s="44" t="s">
        <v>17</v>
      </c>
    </row>
    <row r="58" spans="1:16" s="72" customFormat="1" ht="26.25" customHeight="1">
      <c r="A58" s="77" t="s">
        <v>85</v>
      </c>
      <c r="B58" s="95" t="s">
        <v>108</v>
      </c>
      <c r="C58" s="86" t="s">
        <v>109</v>
      </c>
      <c r="D58" s="70" t="s">
        <v>110</v>
      </c>
      <c r="E58" s="70">
        <v>5</v>
      </c>
      <c r="F58" s="62">
        <v>40</v>
      </c>
      <c r="G58" s="10">
        <f t="shared" si="11"/>
        <v>1680</v>
      </c>
      <c r="H58" s="10">
        <v>42</v>
      </c>
      <c r="I58" s="10">
        <v>1.58</v>
      </c>
      <c r="J58" s="9">
        <v>3.1</v>
      </c>
      <c r="K58" s="75">
        <f t="shared" si="1"/>
        <v>0.96202531645569622</v>
      </c>
      <c r="L58" s="9">
        <f>N58/8</f>
        <v>15.5</v>
      </c>
      <c r="M58" s="10"/>
      <c r="N58" s="9">
        <f t="shared" si="13"/>
        <v>124</v>
      </c>
      <c r="O58" s="11"/>
      <c r="P58" s="71" t="s">
        <v>89</v>
      </c>
    </row>
    <row r="59" spans="1:16" s="64" customFormat="1" ht="19.5" customHeight="1">
      <c r="A59" s="77" t="s">
        <v>85</v>
      </c>
      <c r="B59" s="95" t="s">
        <v>111</v>
      </c>
      <c r="C59" s="87"/>
      <c r="D59" s="70" t="s">
        <v>112</v>
      </c>
      <c r="E59" s="70">
        <v>5</v>
      </c>
      <c r="F59" s="62">
        <v>40</v>
      </c>
      <c r="G59" s="10">
        <f t="shared" si="11"/>
        <v>1680</v>
      </c>
      <c r="H59" s="10">
        <v>42</v>
      </c>
      <c r="I59" s="77" t="s">
        <v>34</v>
      </c>
      <c r="J59" s="9">
        <v>4</v>
      </c>
      <c r="K59" s="77" t="s">
        <v>34</v>
      </c>
      <c r="L59" s="9">
        <f t="shared" si="12"/>
        <v>20</v>
      </c>
      <c r="M59" s="10"/>
      <c r="N59" s="9">
        <f t="shared" si="13"/>
        <v>160</v>
      </c>
      <c r="O59" s="11"/>
      <c r="P59" s="71" t="s">
        <v>89</v>
      </c>
    </row>
  </sheetData>
  <phoneticPr fontId="13" type="noConversion"/>
  <pageMargins left="0.36" right="0.36" top="0.75" bottom="0.75" header="0.3" footer="0.3"/>
  <pageSetup scale="48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2026-07-15T19:52:51Z</cp:lastPrinted>
  <dcterms:created xsi:type="dcterms:W3CDTF">2026-07-15T19:32:34Z</dcterms:created>
  <dcterms:modified xsi:type="dcterms:W3CDTF">2026-07-20T19:14:09Z</dcterms:modified>
</cp:coreProperties>
</file>